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ОД" sheetId="1" r:id="rId5"/>
    <sheet state="visible" name="₽ СМЕНЫ" sheetId="2" r:id="rId6"/>
  </sheets>
  <definedNames/>
  <calcPr/>
</workbook>
</file>

<file path=xl/sharedStrings.xml><?xml version="1.0" encoding="utf-8"?>
<sst xmlns="http://schemas.openxmlformats.org/spreadsheetml/2006/main" count="41" uniqueCount="38">
  <si>
    <t>О проекте</t>
  </si>
  <si>
    <t>Матрица №</t>
  </si>
  <si>
    <t>Клиент</t>
  </si>
  <si>
    <t>РУСАЛ</t>
  </si>
  <si>
    <t>ТВ2632550</t>
  </si>
  <si>
    <t>Название проекта</t>
  </si>
  <si>
    <t>Организация и проведение прямой линии с ТОП-менеджментом РУСАЛа 26.03.2026</t>
  </si>
  <si>
    <t>Формат</t>
  </si>
  <si>
    <t xml:space="preserve">Видеотрансляция </t>
  </si>
  <si>
    <t>Дата</t>
  </si>
  <si>
    <t>Продюсер от ММ</t>
  </si>
  <si>
    <t>ФИО</t>
  </si>
  <si>
    <t>Менеджер по продажам</t>
  </si>
  <si>
    <t>Куратор от заказчика</t>
  </si>
  <si>
    <t>Бизнес Юнит</t>
  </si>
  <si>
    <t>ВЫБОР</t>
  </si>
  <si>
    <r>
      <rPr>
        <rFont val="Geologica"/>
        <b/>
        <color rgb="FF434343"/>
        <sz val="11.0"/>
      </rPr>
      <t xml:space="preserve">Путь к папке проекта в Dropbox
</t>
    </r>
    <r>
      <rPr>
        <rFont val="Geologica"/>
        <b val="0"/>
        <color rgb="FF434343"/>
        <sz val="11.0"/>
      </rPr>
      <t>(Генерируется автомастически)</t>
    </r>
  </si>
  <si>
    <t>ВАЖНО! Создавайте папку в Dropbox согласоно этому названию!</t>
  </si>
  <si>
    <t xml:space="preserve">При добавлении нового фрилансера ОБЯЗАТЕЛЬНО! вносите его в РЕЕСТР ФРИЛАНСЕРОВ, а потом в Матрицу. </t>
  </si>
  <si>
    <t>Не забывайте проставлять СТАТУС ОПЛАТЫ фрилансера!</t>
  </si>
  <si>
    <t>Итого</t>
  </si>
  <si>
    <t>№</t>
  </si>
  <si>
    <t>Сотрудник/Фрилансер</t>
  </si>
  <si>
    <t>Смена 
ПЛАН</t>
  </si>
  <si>
    <t>Cмена
ФАКТ</t>
  </si>
  <si>
    <t>Коментарий</t>
  </si>
  <si>
    <t>Функция на площадке</t>
  </si>
  <si>
    <t>Налоги/Штат</t>
  </si>
  <si>
    <t>Всего смен</t>
  </si>
  <si>
    <t>Сумма без налога
ПЛАН</t>
  </si>
  <si>
    <t>C налогом ПЛАН</t>
  </si>
  <si>
    <t>C налогом
ФАКТ</t>
  </si>
  <si>
    <t>Разница</t>
  </si>
  <si>
    <t>Статус оплаты</t>
  </si>
  <si>
    <t>Режиссёр-постановщик</t>
  </si>
  <si>
    <t>Смена (до 8ч.)</t>
  </si>
  <si>
    <t>ШТАТ</t>
  </si>
  <si>
    <t>Итог: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</si>
</sst>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 mm dd"/>
    <numFmt numFmtId="165" formatCode="#,##0.00[$ ₽]"/>
    <numFmt numFmtId="166" formatCode="yyyy&quot; &quot;mm&quot; &quot;dd"/>
    <numFmt numFmtId="167" formatCode="ddd"/>
    <numFmt numFmtId="168" formatCode="#,##0[$ ₽]"/>
    <numFmt numFmtId="169" formatCode="dd"/>
  </numFmts>
  <fonts count="19">
    <font>
      <sz val="10.0"/>
      <color rgb="FF000000"/>
      <name val="Arial"/>
      <scheme val="minor"/>
    </font>
    <font>
      <b/>
      <sz val="10.0"/>
      <color rgb="FF000000"/>
      <name val="Geologica"/>
    </font>
    <font>
      <b/>
      <sz val="10.0"/>
      <color rgb="FFFFFFFF"/>
      <name val="Geologica"/>
    </font>
    <font>
      <color theme="1"/>
      <name val="Arial"/>
      <scheme val="minor"/>
    </font>
    <font>
      <b/>
      <sz val="10.0"/>
      <color rgb="FFF3F3F3"/>
      <name val="Geologica"/>
    </font>
    <font>
      <b/>
      <sz val="11.0"/>
      <color rgb="FF434343"/>
      <name val="Geologica"/>
    </font>
    <font>
      <sz val="11.0"/>
      <color rgb="FF434343"/>
      <name val="Geologica"/>
    </font>
    <font/>
    <font>
      <b/>
      <sz val="24.0"/>
      <color rgb="FFFFFFFF"/>
      <name val="Geologica"/>
    </font>
    <font>
      <b/>
      <sz val="10.0"/>
      <color theme="1"/>
      <name val="Geologica"/>
    </font>
    <font>
      <sz val="10.0"/>
      <color theme="1"/>
      <name val="Geologica"/>
    </font>
    <font>
      <sz val="11.0"/>
      <color rgb="FFEA4335"/>
      <name val="Geologica"/>
    </font>
    <font>
      <b/>
      <sz val="8.0"/>
      <color rgb="FF666666"/>
      <name val="Geologica"/>
    </font>
    <font>
      <sz val="9.0"/>
      <color rgb="FFFFFFFF"/>
      <name val="Geologica"/>
    </font>
    <font>
      <b/>
      <sz val="9.0"/>
      <color rgb="FFFFFFFF"/>
      <name val="Geologica"/>
    </font>
    <font>
      <b/>
      <u/>
      <sz val="10.0"/>
      <color theme="1"/>
      <name val="Geologica"/>
    </font>
    <font>
      <b/>
      <sz val="12.0"/>
      <color theme="1"/>
      <name val="Geologica"/>
    </font>
    <font>
      <sz val="10.0"/>
      <color rgb="FFFFFFFF"/>
      <name val="Geologica"/>
    </font>
    <font>
      <sz val="10.0"/>
      <color rgb="FFB7B7B7"/>
      <name val="Geologica"/>
    </font>
  </fonts>
  <fills count="1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297933"/>
        <bgColor rgb="FF297933"/>
      </patternFill>
    </fill>
    <fill>
      <patternFill patternType="solid">
        <fgColor rgb="FFFFFFFF"/>
        <bgColor rgb="FFFFFFFF"/>
      </patternFill>
    </fill>
    <fill>
      <patternFill patternType="solid">
        <fgColor rgb="FFEA4335"/>
        <bgColor rgb="FFEA4335"/>
      </patternFill>
    </fill>
    <fill>
      <patternFill patternType="solid">
        <fgColor rgb="FFF4CCCC"/>
        <bgColor rgb="FFF4CCCC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</fills>
  <borders count="21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left style="medium">
        <color rgb="FF4285F4"/>
      </left>
      <top style="medium">
        <color rgb="FF4285F4"/>
      </top>
    </border>
    <border>
      <top style="medium">
        <color rgb="FF4285F4"/>
      </top>
    </border>
    <border>
      <right style="medium">
        <color rgb="FF4285F4"/>
      </right>
      <top style="medium">
        <color rgb="FF4285F4"/>
      </top>
    </border>
    <border>
      <left style="medium">
        <color rgb="FF4285F4"/>
      </left>
    </border>
    <border>
      <right style="medium">
        <color rgb="FF4285F4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medium">
        <color rgb="FF4285F4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medium">
        <color rgb="FF4285F4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medium">
        <color rgb="FF4285F4"/>
      </left>
      <right style="thin">
        <color rgb="FFB7B7B7"/>
      </right>
      <top style="thin">
        <color rgb="FFB7B7B7"/>
      </top>
      <bottom style="medium">
        <color rgb="FF4285F4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4285F4"/>
      </bottom>
    </border>
    <border>
      <left style="thin">
        <color rgb="FFB7B7B7"/>
      </left>
      <right style="medium">
        <color rgb="FF4285F4"/>
      </right>
      <top style="thin">
        <color rgb="FFB7B7B7"/>
      </top>
      <bottom style="medium">
        <color rgb="FF4285F4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2" fontId="3" numFmtId="0" xfId="0" applyFont="1"/>
    <xf borderId="0" fillId="3" fontId="2" numFmtId="0" xfId="0" applyAlignment="1" applyFont="1">
      <alignment horizontal="center" readingOrder="0" shrinkToFit="0" vertical="top" wrapText="1"/>
    </xf>
    <xf borderId="0" fillId="2" fontId="4" numFmtId="0" xfId="0" applyAlignment="1" applyFont="1">
      <alignment horizontal="center" readingOrder="0" vertical="center"/>
    </xf>
    <xf borderId="1" fillId="4" fontId="5" numFmtId="0" xfId="0" applyAlignment="1" applyBorder="1" applyFill="1" applyFont="1">
      <alignment vertical="center"/>
    </xf>
    <xf borderId="2" fillId="4" fontId="6" numFmtId="0" xfId="0" applyAlignment="1" applyBorder="1" applyFont="1">
      <alignment horizontal="left" readingOrder="0" vertical="center"/>
    </xf>
    <xf borderId="3" fillId="0" fontId="7" numFmtId="0" xfId="0" applyBorder="1" applyFont="1"/>
    <xf borderId="0" fillId="2" fontId="4" numFmtId="0" xfId="0" applyAlignment="1" applyFont="1">
      <alignment horizontal="center" readingOrder="0" vertical="top"/>
    </xf>
    <xf borderId="0" fillId="5" fontId="8" numFmtId="0" xfId="0" applyAlignment="1" applyFill="1" applyFont="1">
      <alignment horizontal="center" vertical="center"/>
    </xf>
    <xf borderId="2" fillId="4" fontId="6" numFmtId="0" xfId="0" applyAlignment="1" applyBorder="1" applyFont="1">
      <alignment horizontal="left" readingOrder="0" vertical="center"/>
    </xf>
    <xf borderId="2" fillId="4" fontId="6" numFmtId="164" xfId="0" applyAlignment="1" applyBorder="1" applyFont="1" applyNumberFormat="1">
      <alignment horizontal="left" readingOrder="0" vertical="center"/>
    </xf>
    <xf borderId="0" fillId="2" fontId="9" numFmtId="0" xfId="0" applyAlignment="1" applyFont="1">
      <alignment horizontal="right" readingOrder="0" vertical="center"/>
    </xf>
    <xf borderId="2" fillId="4" fontId="6" numFmtId="165" xfId="0" applyAlignment="1" applyBorder="1" applyFont="1" applyNumberFormat="1">
      <alignment horizontal="left" readingOrder="0" vertical="center"/>
    </xf>
    <xf borderId="1" fillId="4" fontId="5" numFmtId="0" xfId="0" applyAlignment="1" applyBorder="1" applyFont="1">
      <alignment readingOrder="0" vertical="center"/>
    </xf>
    <xf borderId="0" fillId="2" fontId="10" numFmtId="165" xfId="0" applyAlignment="1" applyFont="1" applyNumberFormat="1">
      <alignment horizontal="left" readingOrder="0" vertical="center"/>
    </xf>
    <xf borderId="0" fillId="2" fontId="9" numFmtId="0" xfId="0" applyAlignment="1" applyFont="1">
      <alignment horizontal="right" readingOrder="0" shrinkToFit="0" vertical="center" wrapText="1"/>
    </xf>
    <xf borderId="4" fillId="4" fontId="5" numFmtId="0" xfId="0" applyAlignment="1" applyBorder="1" applyFont="1">
      <alignment readingOrder="0" shrinkToFit="0" vertical="center" wrapText="1"/>
    </xf>
    <xf borderId="5" fillId="4" fontId="6" numFmtId="165" xfId="0" applyAlignment="1" applyBorder="1" applyFont="1" applyNumberFormat="1">
      <alignment horizontal="left" readingOrder="0" shrinkToFit="0" vertical="center" wrapText="1"/>
    </xf>
    <xf borderId="6" fillId="0" fontId="7" numFmtId="0" xfId="0" applyBorder="1" applyFont="1"/>
    <xf borderId="0" fillId="2" fontId="4" numFmtId="0" xfId="0" applyAlignment="1" applyFont="1">
      <alignment horizontal="center" readingOrder="0" shrinkToFit="0" vertical="top" wrapText="1"/>
    </xf>
    <xf borderId="0" fillId="2" fontId="10" numFmtId="165" xfId="0" applyAlignment="1" applyFont="1" applyNumberFormat="1">
      <alignment horizontal="left" readingOrder="0" shrinkToFit="0" vertical="center" wrapText="1"/>
    </xf>
    <xf borderId="4" fillId="2" fontId="5" numFmtId="0" xfId="0" applyAlignment="1" applyBorder="1" applyFont="1">
      <alignment readingOrder="0" vertical="top"/>
    </xf>
    <xf borderId="5" fillId="2" fontId="5" numFmtId="49" xfId="0" applyAlignment="1" applyBorder="1" applyFont="1" applyNumberFormat="1">
      <alignment horizontal="left" readingOrder="0" shrinkToFit="0" vertical="top" wrapText="1"/>
    </xf>
    <xf borderId="0" fillId="6" fontId="11" numFmtId="0" xfId="0" applyAlignment="1" applyFill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vertical="bottom"/>
    </xf>
    <xf borderId="0" fillId="2" fontId="1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3" numFmtId="0" xfId="0" applyAlignment="1" applyFont="1">
      <alignment horizontal="center" shrinkToFit="0" vertical="center" wrapText="1"/>
    </xf>
    <xf borderId="0" fillId="7" fontId="14" numFmtId="165" xfId="0" applyAlignment="1" applyFill="1" applyFont="1" applyNumberFormat="1">
      <alignment horizontal="center" readingOrder="0" shrinkToFit="0" vertical="center" wrapText="1"/>
    </xf>
    <xf borderId="7" fillId="8" fontId="2" numFmtId="166" xfId="0" applyAlignment="1" applyBorder="1" applyFill="1" applyFont="1" applyNumberFormat="1">
      <alignment horizontal="center" readingOrder="0" shrinkToFit="0" vertical="center" wrapText="1"/>
    </xf>
    <xf borderId="8" fillId="0" fontId="7" numFmtId="0" xfId="0" applyBorder="1" applyFont="1"/>
    <xf borderId="9" fillId="0" fontId="7" numFmtId="0" xfId="0" applyBorder="1" applyFont="1"/>
    <xf borderId="0" fillId="3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9" fontId="15" numFmtId="165" xfId="0" applyAlignment="1" applyFill="1" applyFont="1" applyNumberFormat="1">
      <alignment horizontal="center" readingOrder="0" shrinkToFit="0" vertical="center" wrapText="1"/>
    </xf>
    <xf borderId="10" fillId="4" fontId="1" numFmtId="167" xfId="0" applyAlignment="1" applyBorder="1" applyFont="1" applyNumberFormat="1">
      <alignment horizontal="center" readingOrder="0" shrinkToFit="0" vertical="center" wrapText="1"/>
    </xf>
    <xf borderId="0" fillId="4" fontId="1" numFmtId="167" xfId="0" applyAlignment="1" applyFont="1" applyNumberFormat="1">
      <alignment horizontal="center" readingOrder="0" shrinkToFit="0" vertical="center" wrapText="1"/>
    </xf>
    <xf borderId="0" fillId="8" fontId="2" numFmtId="167" xfId="0" applyAlignment="1" applyFont="1" applyNumberFormat="1">
      <alignment horizontal="center" readingOrder="0" shrinkToFit="0" vertical="center" wrapText="1"/>
    </xf>
    <xf borderId="11" fillId="4" fontId="1" numFmtId="167" xfId="0" applyAlignment="1" applyBorder="1" applyFont="1" applyNumberFormat="1">
      <alignment horizontal="center" readingOrder="0" shrinkToFit="0" vertical="center" wrapText="1"/>
    </xf>
    <xf borderId="0" fillId="2" fontId="16" numFmtId="0" xfId="0" applyAlignment="1" applyFont="1">
      <alignment horizontal="center" readingOrder="0" shrinkToFit="0" vertical="center" wrapText="1"/>
    </xf>
    <xf borderId="0" fillId="2" fontId="16" numFmtId="168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10" fontId="2" numFmtId="168" xfId="0" applyAlignment="1" applyFill="1" applyFont="1" applyNumberFormat="1">
      <alignment horizontal="center" readingOrder="0" shrinkToFit="0" vertical="center" wrapText="1"/>
    </xf>
    <xf borderId="0" fillId="8" fontId="2" numFmtId="168" xfId="0" applyAlignment="1" applyFont="1" applyNumberFormat="1">
      <alignment horizontal="center" readingOrder="0" shrinkToFit="0" vertical="center" wrapText="1"/>
    </xf>
    <xf borderId="10" fillId="0" fontId="9" numFmtId="169" xfId="0" applyAlignment="1" applyBorder="1" applyFont="1" applyNumberFormat="1">
      <alignment horizontal="center" readingOrder="0" shrinkToFit="0" vertical="center" wrapText="1"/>
    </xf>
    <xf borderId="0" fillId="0" fontId="9" numFmtId="169" xfId="0" applyAlignment="1" applyFont="1" applyNumberFormat="1">
      <alignment horizontal="center" readingOrder="0" shrinkToFit="0" vertical="center" wrapText="1"/>
    </xf>
    <xf borderId="0" fillId="8" fontId="2" numFmtId="169" xfId="0" applyAlignment="1" applyFont="1" applyNumberFormat="1">
      <alignment horizontal="center" readingOrder="0" shrinkToFit="0" vertical="center" wrapText="1"/>
    </xf>
    <xf borderId="11" fillId="0" fontId="9" numFmtId="169" xfId="0" applyAlignment="1" applyBorder="1" applyFont="1" applyNumberFormat="1">
      <alignment horizontal="center" readingOrder="0" shrinkToFit="0" vertical="center" wrapText="1"/>
    </xf>
    <xf borderId="0" fillId="0" fontId="9" numFmtId="165" xfId="0" applyAlignment="1" applyFont="1" applyNumberFormat="1">
      <alignment horizontal="center" readingOrder="0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left" readingOrder="0" shrinkToFit="0" vertical="center" wrapText="1"/>
    </xf>
    <xf borderId="12" fillId="2" fontId="9" numFmtId="168" xfId="0" applyAlignment="1" applyBorder="1" applyFont="1" applyNumberFormat="1">
      <alignment horizontal="right" readingOrder="0" shrinkToFit="0" vertical="center" wrapText="1"/>
    </xf>
    <xf borderId="12" fillId="11" fontId="9" numFmtId="168" xfId="0" applyAlignment="1" applyBorder="1" applyFill="1" applyFont="1" applyNumberFormat="1">
      <alignment horizontal="right" readingOrder="0" shrinkToFit="0" vertical="center" wrapText="1"/>
    </xf>
    <xf borderId="12" fillId="0" fontId="10" numFmtId="0" xfId="0" applyAlignment="1" applyBorder="1" applyFont="1">
      <alignment readingOrder="0" shrinkToFit="0" vertical="center" wrapText="1"/>
    </xf>
    <xf borderId="12" fillId="0" fontId="10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horizontal="center" readingOrder="0" shrinkToFit="0" vertical="center" wrapText="1"/>
    </xf>
    <xf borderId="14" fillId="0" fontId="9" numFmtId="0" xfId="0" applyAlignment="1" applyBorder="1" applyFont="1">
      <alignment horizontal="center" readingOrder="0" shrinkToFit="0" vertical="center" wrapText="1"/>
    </xf>
    <xf borderId="12" fillId="2" fontId="9" numFmtId="0" xfId="0" applyAlignment="1" applyBorder="1" applyFont="1">
      <alignment horizontal="center"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12" fillId="8" fontId="2" numFmtId="0" xfId="0" applyAlignment="1" applyBorder="1" applyFont="1">
      <alignment horizontal="center" readingOrder="0" shrinkToFit="0" vertical="center" wrapText="1"/>
    </xf>
    <xf borderId="15" fillId="0" fontId="9" numFmtId="0" xfId="0" applyAlignment="1" applyBorder="1" applyFont="1">
      <alignment horizontal="center" readingOrder="0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2" fillId="0" fontId="18" numFmtId="165" xfId="0" applyAlignment="1" applyBorder="1" applyFont="1" applyNumberFormat="1">
      <alignment horizontal="right" shrinkToFit="0" vertical="center" wrapText="1"/>
    </xf>
    <xf borderId="12" fillId="2" fontId="9" numFmtId="168" xfId="0" applyAlignment="1" applyBorder="1" applyFont="1" applyNumberFormat="1">
      <alignment horizontal="right" shrinkToFit="0" vertical="center" wrapText="1"/>
    </xf>
    <xf borderId="12" fillId="11" fontId="9" numFmtId="168" xfId="0" applyAlignment="1" applyBorder="1" applyFont="1" applyNumberFormat="1">
      <alignment horizontal="right" shrinkToFit="0" vertical="center" wrapText="1"/>
    </xf>
    <xf borderId="12" fillId="0" fontId="9" numFmtId="165" xfId="0" applyAlignment="1" applyBorder="1" applyFont="1" applyNumberFormat="1">
      <alignment horizontal="right" shrinkToFit="0" vertical="center" wrapText="1"/>
    </xf>
    <xf borderId="0" fillId="0" fontId="10" numFmtId="0" xfId="0" applyAlignment="1" applyFont="1">
      <alignment shrinkToFit="0" vertical="center" wrapText="1"/>
    </xf>
    <xf borderId="12" fillId="4" fontId="10" numFmtId="0" xfId="0" applyAlignment="1" applyBorder="1" applyFont="1">
      <alignment horizontal="left" readingOrder="0" shrinkToFit="0" vertical="center" wrapText="1"/>
    </xf>
    <xf borderId="13" fillId="0" fontId="9" numFmtId="165" xfId="0" applyAlignment="1" applyBorder="1" applyFont="1" applyNumberFormat="1">
      <alignment horizontal="right" readingOrder="0" shrinkToFit="0" vertical="center" wrapText="1"/>
    </xf>
    <xf borderId="17" fillId="0" fontId="7" numFmtId="0" xfId="0" applyBorder="1" applyFont="1"/>
    <xf borderId="16" fillId="0" fontId="7" numFmtId="0" xfId="0" applyBorder="1" applyFont="1"/>
    <xf borderId="18" fillId="0" fontId="9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19" fillId="8" fontId="2" numFmtId="0" xfId="0" applyAlignment="1" applyBorder="1" applyFont="1">
      <alignment horizontal="center" shrinkToFit="0" vertical="center" wrapText="1"/>
    </xf>
    <xf borderId="20" fillId="0" fontId="9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right" shrinkToFit="0" vertical="center" wrapText="1"/>
    </xf>
    <xf borderId="13" fillId="0" fontId="10" numFmtId="168" xfId="0" applyAlignment="1" applyBorder="1" applyFont="1" applyNumberFormat="1">
      <alignment horizontal="right" shrinkToFit="0" vertical="center" wrapText="1"/>
    </xf>
    <xf borderId="13" fillId="0" fontId="9" numFmtId="0" xfId="0" applyAlignment="1" applyBorder="1" applyFont="1">
      <alignment horizontal="right" shrinkToFit="0" vertical="center" wrapText="1"/>
    </xf>
    <xf borderId="12" fillId="0" fontId="9" numFmtId="4" xfId="0" applyAlignment="1" applyBorder="1" applyFont="1" applyNumberFormat="1">
      <alignment horizontal="right" shrinkToFit="0" vertical="center" wrapText="1"/>
    </xf>
    <xf borderId="0" fillId="0" fontId="9" numFmtId="0" xfId="0" applyAlignment="1" applyFont="1">
      <alignment horizontal="right" shrinkToFit="0" vertical="center" wrapText="1"/>
    </xf>
    <xf borderId="0" fillId="0" fontId="9" numFmtId="168" xfId="0" applyAlignment="1" applyFont="1" applyNumberFormat="1">
      <alignment horizontal="righ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9" numFmtId="165" xfId="0" applyAlignment="1" applyFont="1" applyNumberFormat="1">
      <alignment horizontal="right" shrinkToFit="0" vertical="center" wrapText="1"/>
    </xf>
    <xf borderId="0" fillId="0" fontId="9" numFmtId="4" xfId="0" applyAlignment="1" applyFont="1" applyNumberFormat="1">
      <alignment horizontal="right" shrinkToFit="0" vertical="center" wrapText="1"/>
    </xf>
  </cellXfs>
  <cellStyles count="1">
    <cellStyle xfId="0" name="Normal" builtinId="0"/>
  </cellStyles>
  <dxfs count="5">
    <dxf>
      <font>
        <color rgb="FFFFFFFF"/>
      </font>
      <fill>
        <patternFill patternType="solid">
          <fgColor theme="5"/>
          <bgColor theme="5"/>
        </patternFill>
      </fill>
      <border/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>
        <color rgb="FF297933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3.63"/>
    <col customWidth="1" min="2" max="2" width="33.0"/>
    <col customWidth="1" min="3" max="4" width="26.0"/>
    <col customWidth="1" min="5" max="5" width="3.5"/>
    <col customWidth="1" min="6" max="6" width="26.0"/>
    <col customWidth="1" min="7" max="7" width="3.5"/>
  </cols>
  <sheetData>
    <row r="1">
      <c r="A1" s="1"/>
      <c r="B1" s="2" t="s">
        <v>0</v>
      </c>
      <c r="E1" s="3"/>
      <c r="F1" s="4" t="s">
        <v>1</v>
      </c>
      <c r="G1" s="5"/>
    </row>
    <row r="2">
      <c r="A2" s="1"/>
      <c r="B2" s="6" t="s">
        <v>2</v>
      </c>
      <c r="C2" s="7" t="s">
        <v>3</v>
      </c>
      <c r="D2" s="8"/>
      <c r="E2" s="9"/>
      <c r="F2" s="10" t="s">
        <v>4</v>
      </c>
      <c r="G2" s="5"/>
    </row>
    <row r="3">
      <c r="A3" s="1"/>
      <c r="B3" s="6" t="s">
        <v>5</v>
      </c>
      <c r="C3" s="11" t="s">
        <v>6</v>
      </c>
      <c r="D3" s="8"/>
      <c r="E3" s="9"/>
      <c r="G3" s="5"/>
    </row>
    <row r="4">
      <c r="A4" s="1"/>
      <c r="B4" s="6" t="s">
        <v>7</v>
      </c>
      <c r="C4" s="11" t="s">
        <v>8</v>
      </c>
      <c r="D4" s="8"/>
      <c r="E4" s="9"/>
      <c r="G4" s="5"/>
    </row>
    <row r="5">
      <c r="A5" s="1"/>
      <c r="B5" s="6" t="s">
        <v>9</v>
      </c>
      <c r="C5" s="12">
        <v>46106.0</v>
      </c>
      <c r="D5" s="8"/>
      <c r="E5" s="9"/>
      <c r="F5" s="9"/>
      <c r="G5" s="5"/>
    </row>
    <row r="6">
      <c r="A6" s="13"/>
      <c r="B6" s="6" t="s">
        <v>10</v>
      </c>
      <c r="C6" s="14" t="s">
        <v>11</v>
      </c>
      <c r="D6" s="8"/>
      <c r="E6" s="9"/>
      <c r="G6" s="5"/>
    </row>
    <row r="7">
      <c r="A7" s="13"/>
      <c r="B7" s="15" t="s">
        <v>12</v>
      </c>
      <c r="C7" s="14" t="s">
        <v>11</v>
      </c>
      <c r="D7" s="8"/>
      <c r="E7" s="9"/>
      <c r="G7" s="16"/>
    </row>
    <row r="8">
      <c r="A8" s="13"/>
      <c r="B8" s="6" t="s">
        <v>13</v>
      </c>
      <c r="C8" s="14" t="s">
        <v>11</v>
      </c>
      <c r="D8" s="8"/>
      <c r="E8" s="9"/>
      <c r="G8" s="16"/>
    </row>
    <row r="9">
      <c r="A9" s="17"/>
      <c r="B9" s="18" t="s">
        <v>14</v>
      </c>
      <c r="C9" s="19" t="s">
        <v>15</v>
      </c>
      <c r="D9" s="20"/>
      <c r="E9" s="21"/>
      <c r="G9" s="22"/>
    </row>
    <row r="10" ht="57.0" customHeight="1">
      <c r="A10" s="13"/>
      <c r="B10" s="23" t="s">
        <v>16</v>
      </c>
      <c r="C10" s="24"/>
      <c r="D10" s="20"/>
      <c r="E10" s="9"/>
      <c r="G10" s="16"/>
    </row>
    <row r="11">
      <c r="A11" s="1"/>
      <c r="B11" s="25" t="s">
        <v>17</v>
      </c>
      <c r="E11" s="26"/>
      <c r="F11" s="27"/>
      <c r="G11" s="28"/>
    </row>
    <row r="12">
      <c r="A12" s="29"/>
      <c r="B12" s="29"/>
      <c r="C12" s="29"/>
      <c r="D12" s="29"/>
      <c r="E12" s="29"/>
      <c r="F12" s="29"/>
      <c r="G12" s="29"/>
    </row>
    <row r="13">
      <c r="A13" s="29"/>
      <c r="B13" s="29"/>
      <c r="C13" s="29"/>
      <c r="D13" s="29"/>
      <c r="E13" s="29"/>
      <c r="F13" s="29"/>
      <c r="G13" s="29"/>
    </row>
    <row r="14">
      <c r="A14" s="29"/>
      <c r="B14" s="29"/>
      <c r="C14" s="29"/>
      <c r="D14" s="29"/>
      <c r="E14" s="29"/>
      <c r="F14" s="29"/>
      <c r="G14" s="29"/>
    </row>
    <row r="15">
      <c r="A15" s="29"/>
      <c r="B15" s="29"/>
      <c r="C15" s="29"/>
      <c r="D15" s="29"/>
      <c r="E15" s="29"/>
      <c r="F15" s="29"/>
      <c r="G15" s="29"/>
    </row>
    <row r="16">
      <c r="A16" s="29"/>
      <c r="B16" s="29"/>
      <c r="C16" s="29"/>
      <c r="D16" s="29"/>
      <c r="E16" s="29"/>
      <c r="F16" s="29"/>
      <c r="G16" s="29"/>
    </row>
    <row r="17">
      <c r="A17" s="29"/>
      <c r="B17" s="29"/>
      <c r="C17" s="29"/>
      <c r="D17" s="29"/>
      <c r="E17" s="29"/>
      <c r="F17" s="29"/>
      <c r="G17" s="29"/>
    </row>
    <row r="18">
      <c r="A18" s="29"/>
      <c r="B18" s="29"/>
      <c r="C18" s="29"/>
      <c r="D18" s="29"/>
      <c r="E18" s="29"/>
      <c r="F18" s="29"/>
      <c r="G18" s="29"/>
    </row>
    <row r="19">
      <c r="A19" s="29"/>
      <c r="B19" s="29"/>
      <c r="C19" s="29"/>
      <c r="D19" s="29"/>
      <c r="E19" s="29"/>
      <c r="F19" s="29"/>
      <c r="G19" s="29"/>
    </row>
    <row r="20">
      <c r="A20" s="29"/>
      <c r="B20" s="29"/>
      <c r="C20" s="29"/>
      <c r="D20" s="29"/>
      <c r="E20" s="29"/>
      <c r="F20" s="29"/>
      <c r="G20" s="29"/>
    </row>
    <row r="21">
      <c r="A21" s="29"/>
      <c r="B21" s="29"/>
      <c r="C21" s="29"/>
      <c r="D21" s="29"/>
      <c r="E21" s="29"/>
      <c r="F21" s="29"/>
      <c r="G21" s="29"/>
    </row>
    <row r="22">
      <c r="A22" s="29"/>
      <c r="B22" s="29"/>
      <c r="C22" s="29"/>
      <c r="D22" s="29"/>
      <c r="E22" s="29"/>
      <c r="F22" s="29"/>
      <c r="G22" s="29"/>
    </row>
    <row r="23">
      <c r="A23" s="29"/>
      <c r="B23" s="29"/>
      <c r="C23" s="29"/>
      <c r="D23" s="29"/>
      <c r="E23" s="29"/>
      <c r="F23" s="29"/>
      <c r="G23" s="29"/>
    </row>
    <row r="24">
      <c r="A24" s="29"/>
      <c r="B24" s="29"/>
      <c r="C24" s="29"/>
      <c r="D24" s="29"/>
      <c r="E24" s="29"/>
      <c r="F24" s="29"/>
      <c r="G24" s="29"/>
    </row>
    <row r="25">
      <c r="A25" s="29"/>
      <c r="B25" s="29"/>
      <c r="C25" s="29"/>
      <c r="D25" s="29"/>
      <c r="E25" s="29"/>
      <c r="F25" s="29"/>
      <c r="G25" s="29"/>
    </row>
    <row r="26">
      <c r="A26" s="29"/>
      <c r="B26" s="29"/>
      <c r="C26" s="29"/>
      <c r="D26" s="29"/>
      <c r="E26" s="29"/>
      <c r="F26" s="29"/>
      <c r="G26" s="29"/>
    </row>
    <row r="27">
      <c r="A27" s="29"/>
      <c r="B27" s="29"/>
      <c r="C27" s="29"/>
      <c r="D27" s="29"/>
      <c r="E27" s="29"/>
      <c r="F27" s="29"/>
      <c r="G27" s="29"/>
    </row>
    <row r="28">
      <c r="A28" s="29"/>
      <c r="B28" s="29"/>
      <c r="C28" s="29"/>
      <c r="D28" s="29"/>
      <c r="E28" s="29"/>
      <c r="F28" s="29"/>
      <c r="G28" s="29"/>
    </row>
    <row r="29" ht="264.0" customHeight="1">
      <c r="A29" s="29"/>
      <c r="B29" s="29"/>
      <c r="C29" s="29"/>
      <c r="D29" s="29"/>
      <c r="E29" s="29"/>
      <c r="F29" s="29"/>
      <c r="G29" s="29"/>
    </row>
  </sheetData>
  <mergeCells count="13">
    <mergeCell ref="C8:D8"/>
    <mergeCell ref="C9:D9"/>
    <mergeCell ref="C10:D10"/>
    <mergeCell ref="B11:D11"/>
    <mergeCell ref="C6:D6"/>
    <mergeCell ref="C7:D7"/>
    <mergeCell ref="B1:D1"/>
    <mergeCell ref="C2:D2"/>
    <mergeCell ref="C3:D3"/>
    <mergeCell ref="C4:D4"/>
    <mergeCell ref="C5:D5"/>
    <mergeCell ref="F5:F10"/>
    <mergeCell ref="F2:F4"/>
  </mergeCells>
  <dataValidations>
    <dataValidation type="list" allowBlank="1" sqref="C2">
      <formula1>IMPORT!$I$4:$I$1001</formula1>
    </dataValidation>
    <dataValidation type="list" allowBlank="1" sqref="C4">
      <formula1>IMPORT!$J$4:$J$1001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25"/>
    <col customWidth="1" min="2" max="2" width="2.5"/>
    <col customWidth="1" min="3" max="3" width="26.5"/>
    <col customWidth="1" min="4" max="5" width="10.5"/>
    <col customWidth="1" min="6" max="6" width="20.5"/>
    <col customWidth="1" min="7" max="7" width="26.5"/>
    <col customWidth="1" min="8" max="8" width="14.63"/>
    <col customWidth="1" min="9" max="9" width="13.5"/>
    <col customWidth="1" min="10" max="16" width="3.88"/>
    <col customWidth="1" min="17" max="17" width="8.13"/>
    <col customWidth="1" min="18" max="18" width="13.38"/>
    <col customWidth="1" min="19" max="20" width="10.5"/>
    <col customWidth="1" min="21" max="21" width="13.5"/>
    <col customWidth="1" min="22" max="22" width="7.38"/>
    <col customWidth="1" min="23" max="23" width="3.25"/>
  </cols>
  <sheetData>
    <row r="1" ht="15.75" customHeight="1">
      <c r="A1" s="30"/>
      <c r="B1" s="31" t="s">
        <v>18</v>
      </c>
      <c r="J1" s="32">
        <f>'СВОД'!C5</f>
        <v>46106</v>
      </c>
      <c r="K1" s="33"/>
      <c r="L1" s="33"/>
      <c r="M1" s="33"/>
      <c r="N1" s="33"/>
      <c r="O1" s="33"/>
      <c r="P1" s="34"/>
      <c r="Q1" s="35" t="s">
        <v>19</v>
      </c>
      <c r="W1" s="36"/>
    </row>
    <row r="2" ht="27.0" customHeight="1">
      <c r="A2" s="37"/>
      <c r="B2" s="38"/>
      <c r="J2" s="39">
        <f t="shared" ref="J2:L2" si="1">K2-1</f>
        <v>46103</v>
      </c>
      <c r="K2" s="40">
        <f t="shared" si="1"/>
        <v>46104</v>
      </c>
      <c r="L2" s="40">
        <f t="shared" si="1"/>
        <v>46105</v>
      </c>
      <c r="M2" s="41">
        <f>J1</f>
        <v>46106</v>
      </c>
      <c r="N2" s="40">
        <f t="shared" ref="N2:P2" si="2">M2+1</f>
        <v>46107</v>
      </c>
      <c r="O2" s="40">
        <f t="shared" si="2"/>
        <v>46108</v>
      </c>
      <c r="P2" s="42">
        <f t="shared" si="2"/>
        <v>46109</v>
      </c>
      <c r="Q2" s="43" t="s">
        <v>20</v>
      </c>
      <c r="T2" s="44">
        <f>T58</f>
        <v>0</v>
      </c>
      <c r="W2" s="45"/>
    </row>
    <row r="3" ht="27.0" customHeight="1">
      <c r="A3" s="46"/>
      <c r="B3" s="47" t="s">
        <v>21</v>
      </c>
      <c r="C3" s="48" t="s">
        <v>22</v>
      </c>
      <c r="D3" s="49" t="s">
        <v>23</v>
      </c>
      <c r="E3" s="50" t="s">
        <v>24</v>
      </c>
      <c r="F3" s="48" t="s">
        <v>25</v>
      </c>
      <c r="G3" s="48" t="s">
        <v>26</v>
      </c>
      <c r="H3" s="48" t="s">
        <v>7</v>
      </c>
      <c r="I3" s="48" t="s">
        <v>27</v>
      </c>
      <c r="J3" s="51">
        <f t="shared" ref="J3:P3" si="3">J2</f>
        <v>46103</v>
      </c>
      <c r="K3" s="52">
        <f t="shared" si="3"/>
        <v>46104</v>
      </c>
      <c r="L3" s="52">
        <f t="shared" si="3"/>
        <v>46105</v>
      </c>
      <c r="M3" s="53">
        <f t="shared" si="3"/>
        <v>46106</v>
      </c>
      <c r="N3" s="52">
        <f t="shared" si="3"/>
        <v>46107</v>
      </c>
      <c r="O3" s="52">
        <f t="shared" si="3"/>
        <v>46108</v>
      </c>
      <c r="P3" s="54">
        <f t="shared" si="3"/>
        <v>46109</v>
      </c>
      <c r="Q3" s="48" t="s">
        <v>28</v>
      </c>
      <c r="R3" s="55" t="s">
        <v>29</v>
      </c>
      <c r="S3" s="49" t="s">
        <v>30</v>
      </c>
      <c r="T3" s="50" t="s">
        <v>31</v>
      </c>
      <c r="U3" s="55" t="s">
        <v>32</v>
      </c>
      <c r="V3" s="55" t="s">
        <v>33</v>
      </c>
      <c r="W3" s="45"/>
    </row>
    <row r="4">
      <c r="A4" s="46">
        <f>IF(C4=" ",0,1)</f>
        <v>1</v>
      </c>
      <c r="B4" s="56">
        <f t="shared" ref="B4:B18" si="4">IF(A4=A3," ",A4)</f>
        <v>1</v>
      </c>
      <c r="C4" s="57"/>
      <c r="D4" s="58">
        <v>0.0</v>
      </c>
      <c r="E4" s="59">
        <v>0.0</v>
      </c>
      <c r="F4" s="60"/>
      <c r="G4" s="60" t="s">
        <v>34</v>
      </c>
      <c r="H4" s="61" t="s">
        <v>35</v>
      </c>
      <c r="I4" s="62" t="s">
        <v>36</v>
      </c>
      <c r="J4" s="63"/>
      <c r="K4" s="64"/>
      <c r="L4" s="65">
        <v>1.0</v>
      </c>
      <c r="M4" s="66">
        <v>1.0</v>
      </c>
      <c r="N4" s="65"/>
      <c r="O4" s="64"/>
      <c r="P4" s="67"/>
      <c r="Q4" s="68">
        <f t="shared" ref="Q4:Q18" si="5">IF(SUM(J4:P4)=0,IF(G4&lt;&gt;"",1,SUM(J4:P4)),SUM(J4:P4))</f>
        <v>2</v>
      </c>
      <c r="R4" s="69">
        <f t="shared" ref="R4:R18" si="6">Q4*D4</f>
        <v>0</v>
      </c>
      <c r="S4" s="70">
        <f t="shared" ref="S4:S18" si="7">IF(D4="",E4,IF(I4="ИП 7%",D4*Q4/0.93,IF(I4="ИП 8%",D4*Q4/0.92,IF(I4="ИП 10%",D4*Q4/0.9,IF(I4="СЗТ",D4*Q4/0.94,D4*Q4)))))</f>
        <v>0</v>
      </c>
      <c r="T4" s="71">
        <f t="shared" ref="T4:T18" si="8">IF(E4="",S4,IF(I4="ИП 7%",E4*Q4/0.93,IF(I4="ИП 8%",E4*Q4/0.92,IF(I4="ИП 10%",E4*Q4/0.9,IF(I4="СЗТ",E4*Q4/0.94,E4*Q4)))))</f>
        <v>0</v>
      </c>
      <c r="U4" s="72">
        <f t="shared" ref="U4:U18" si="9">S4-T4</f>
        <v>0</v>
      </c>
      <c r="V4" s="60" t="b">
        <v>0</v>
      </c>
      <c r="W4" s="73"/>
    </row>
    <row r="5">
      <c r="A5" s="46">
        <f t="shared" ref="A5:A18" si="10">A4+(IF(C5="",0,1))</f>
        <v>1</v>
      </c>
      <c r="B5" s="56" t="str">
        <f t="shared" si="4"/>
        <v> </v>
      </c>
      <c r="C5" s="57"/>
      <c r="D5" s="58"/>
      <c r="E5" s="59"/>
      <c r="F5" s="60"/>
      <c r="G5" s="60"/>
      <c r="H5" s="61"/>
      <c r="I5" s="62"/>
      <c r="J5" s="63"/>
      <c r="K5" s="64"/>
      <c r="L5" s="65"/>
      <c r="M5" s="66"/>
      <c r="N5" s="65"/>
      <c r="O5" s="64"/>
      <c r="P5" s="67"/>
      <c r="Q5" s="68">
        <f t="shared" si="5"/>
        <v>0</v>
      </c>
      <c r="R5" s="69">
        <f t="shared" si="6"/>
        <v>0</v>
      </c>
      <c r="S5" s="70" t="str">
        <f t="shared" si="7"/>
        <v/>
      </c>
      <c r="T5" s="71" t="str">
        <f t="shared" si="8"/>
        <v/>
      </c>
      <c r="U5" s="72">
        <f t="shared" si="9"/>
        <v>0</v>
      </c>
      <c r="V5" s="60" t="b">
        <v>0</v>
      </c>
      <c r="W5" s="73"/>
    </row>
    <row r="6">
      <c r="A6" s="46">
        <f t="shared" si="10"/>
        <v>1</v>
      </c>
      <c r="B6" s="56" t="str">
        <f t="shared" si="4"/>
        <v> </v>
      </c>
      <c r="C6" s="57"/>
      <c r="D6" s="58"/>
      <c r="E6" s="59"/>
      <c r="F6" s="60"/>
      <c r="G6" s="60"/>
      <c r="H6" s="61"/>
      <c r="I6" s="62"/>
      <c r="J6" s="63"/>
      <c r="K6" s="64"/>
      <c r="L6" s="65"/>
      <c r="M6" s="66"/>
      <c r="N6" s="65"/>
      <c r="O6" s="64"/>
      <c r="P6" s="67"/>
      <c r="Q6" s="68">
        <f t="shared" si="5"/>
        <v>0</v>
      </c>
      <c r="R6" s="69">
        <f t="shared" si="6"/>
        <v>0</v>
      </c>
      <c r="S6" s="70" t="str">
        <f t="shared" si="7"/>
        <v/>
      </c>
      <c r="T6" s="71" t="str">
        <f t="shared" si="8"/>
        <v/>
      </c>
      <c r="U6" s="72">
        <f t="shared" si="9"/>
        <v>0</v>
      </c>
      <c r="V6" s="60" t="b">
        <v>0</v>
      </c>
      <c r="W6" s="73"/>
    </row>
    <row r="7">
      <c r="A7" s="46">
        <f t="shared" si="10"/>
        <v>1</v>
      </c>
      <c r="B7" s="56" t="str">
        <f t="shared" si="4"/>
        <v> </v>
      </c>
      <c r="C7" s="57"/>
      <c r="D7" s="58"/>
      <c r="E7" s="59"/>
      <c r="F7" s="60"/>
      <c r="G7" s="60"/>
      <c r="H7" s="61"/>
      <c r="I7" s="62"/>
      <c r="J7" s="63"/>
      <c r="K7" s="64"/>
      <c r="L7" s="65"/>
      <c r="M7" s="66"/>
      <c r="N7" s="65"/>
      <c r="O7" s="64"/>
      <c r="P7" s="67"/>
      <c r="Q7" s="68">
        <f t="shared" si="5"/>
        <v>0</v>
      </c>
      <c r="R7" s="69">
        <f t="shared" si="6"/>
        <v>0</v>
      </c>
      <c r="S7" s="70" t="str">
        <f t="shared" si="7"/>
        <v/>
      </c>
      <c r="T7" s="71" t="str">
        <f t="shared" si="8"/>
        <v/>
      </c>
      <c r="U7" s="72">
        <f t="shared" si="9"/>
        <v>0</v>
      </c>
      <c r="V7" s="60" t="b">
        <v>0</v>
      </c>
      <c r="W7" s="73"/>
    </row>
    <row r="8">
      <c r="A8" s="46">
        <f t="shared" si="10"/>
        <v>1</v>
      </c>
      <c r="B8" s="56" t="str">
        <f t="shared" si="4"/>
        <v> </v>
      </c>
      <c r="C8" s="57"/>
      <c r="D8" s="58"/>
      <c r="E8" s="59"/>
      <c r="F8" s="60"/>
      <c r="G8" s="60"/>
      <c r="H8" s="61"/>
      <c r="I8" s="62"/>
      <c r="J8" s="63"/>
      <c r="K8" s="64"/>
      <c r="L8" s="65"/>
      <c r="M8" s="66"/>
      <c r="N8" s="65"/>
      <c r="O8" s="64"/>
      <c r="P8" s="67"/>
      <c r="Q8" s="68">
        <f t="shared" si="5"/>
        <v>0</v>
      </c>
      <c r="R8" s="69">
        <f t="shared" si="6"/>
        <v>0</v>
      </c>
      <c r="S8" s="70" t="str">
        <f t="shared" si="7"/>
        <v/>
      </c>
      <c r="T8" s="71" t="str">
        <f t="shared" si="8"/>
        <v/>
      </c>
      <c r="U8" s="72">
        <f t="shared" si="9"/>
        <v>0</v>
      </c>
      <c r="V8" s="60" t="b">
        <v>0</v>
      </c>
      <c r="W8" s="73"/>
    </row>
    <row r="9">
      <c r="A9" s="46">
        <f t="shared" si="10"/>
        <v>1</v>
      </c>
      <c r="B9" s="56" t="str">
        <f t="shared" si="4"/>
        <v> </v>
      </c>
      <c r="C9" s="74"/>
      <c r="D9" s="58"/>
      <c r="E9" s="59"/>
      <c r="F9" s="60"/>
      <c r="G9" s="60"/>
      <c r="H9" s="61"/>
      <c r="I9" s="62"/>
      <c r="J9" s="63"/>
      <c r="K9" s="64"/>
      <c r="L9" s="65"/>
      <c r="M9" s="66"/>
      <c r="N9" s="65"/>
      <c r="O9" s="64"/>
      <c r="P9" s="67"/>
      <c r="Q9" s="68">
        <f t="shared" si="5"/>
        <v>0</v>
      </c>
      <c r="R9" s="69">
        <f t="shared" si="6"/>
        <v>0</v>
      </c>
      <c r="S9" s="70" t="str">
        <f t="shared" si="7"/>
        <v/>
      </c>
      <c r="T9" s="71" t="str">
        <f t="shared" si="8"/>
        <v/>
      </c>
      <c r="U9" s="72">
        <f t="shared" si="9"/>
        <v>0</v>
      </c>
      <c r="V9" s="60" t="b">
        <v>0</v>
      </c>
      <c r="W9" s="73"/>
    </row>
    <row r="10">
      <c r="A10" s="46">
        <f t="shared" si="10"/>
        <v>1</v>
      </c>
      <c r="B10" s="56" t="str">
        <f t="shared" si="4"/>
        <v> </v>
      </c>
      <c r="C10" s="74"/>
      <c r="D10" s="59"/>
      <c r="E10" s="59"/>
      <c r="F10" s="60"/>
      <c r="G10" s="60"/>
      <c r="H10" s="61"/>
      <c r="I10" s="62"/>
      <c r="J10" s="63"/>
      <c r="K10" s="64"/>
      <c r="L10" s="65"/>
      <c r="M10" s="66"/>
      <c r="N10" s="65"/>
      <c r="O10" s="64"/>
      <c r="P10" s="67"/>
      <c r="Q10" s="68">
        <f t="shared" si="5"/>
        <v>0</v>
      </c>
      <c r="R10" s="69">
        <f t="shared" si="6"/>
        <v>0</v>
      </c>
      <c r="S10" s="70" t="str">
        <f t="shared" si="7"/>
        <v/>
      </c>
      <c r="T10" s="71" t="str">
        <f t="shared" si="8"/>
        <v/>
      </c>
      <c r="U10" s="72">
        <f t="shared" si="9"/>
        <v>0</v>
      </c>
      <c r="V10" s="60" t="b">
        <v>0</v>
      </c>
      <c r="W10" s="73"/>
    </row>
    <row r="11">
      <c r="A11" s="46">
        <f t="shared" si="10"/>
        <v>1</v>
      </c>
      <c r="B11" s="56" t="str">
        <f t="shared" si="4"/>
        <v> </v>
      </c>
      <c r="C11" s="74"/>
      <c r="D11" s="58"/>
      <c r="E11" s="59"/>
      <c r="F11" s="60"/>
      <c r="G11" s="60"/>
      <c r="H11" s="61"/>
      <c r="I11" s="62"/>
      <c r="J11" s="63"/>
      <c r="K11" s="64"/>
      <c r="L11" s="65"/>
      <c r="M11" s="66"/>
      <c r="N11" s="65"/>
      <c r="O11" s="64"/>
      <c r="P11" s="67"/>
      <c r="Q11" s="68">
        <f t="shared" si="5"/>
        <v>0</v>
      </c>
      <c r="R11" s="69">
        <f t="shared" si="6"/>
        <v>0</v>
      </c>
      <c r="S11" s="70" t="str">
        <f t="shared" si="7"/>
        <v/>
      </c>
      <c r="T11" s="71" t="str">
        <f t="shared" si="8"/>
        <v/>
      </c>
      <c r="U11" s="72">
        <f t="shared" si="9"/>
        <v>0</v>
      </c>
      <c r="V11" s="60" t="b">
        <v>0</v>
      </c>
      <c r="W11" s="73"/>
    </row>
    <row r="12">
      <c r="A12" s="46">
        <f t="shared" si="10"/>
        <v>1</v>
      </c>
      <c r="B12" s="56" t="str">
        <f t="shared" si="4"/>
        <v> </v>
      </c>
      <c r="C12" s="57"/>
      <c r="D12" s="58"/>
      <c r="E12" s="59"/>
      <c r="F12" s="60"/>
      <c r="G12" s="60"/>
      <c r="H12" s="61"/>
      <c r="I12" s="62"/>
      <c r="J12" s="63"/>
      <c r="K12" s="64"/>
      <c r="L12" s="65"/>
      <c r="M12" s="66"/>
      <c r="N12" s="65"/>
      <c r="O12" s="64"/>
      <c r="P12" s="67"/>
      <c r="Q12" s="68">
        <f t="shared" si="5"/>
        <v>0</v>
      </c>
      <c r="R12" s="69">
        <f t="shared" si="6"/>
        <v>0</v>
      </c>
      <c r="S12" s="70" t="str">
        <f t="shared" si="7"/>
        <v/>
      </c>
      <c r="T12" s="71" t="str">
        <f t="shared" si="8"/>
        <v/>
      </c>
      <c r="U12" s="72">
        <f t="shared" si="9"/>
        <v>0</v>
      </c>
      <c r="V12" s="60" t="b">
        <v>0</v>
      </c>
      <c r="W12" s="73"/>
    </row>
    <row r="13">
      <c r="A13" s="46">
        <f t="shared" si="10"/>
        <v>1</v>
      </c>
      <c r="B13" s="56" t="str">
        <f t="shared" si="4"/>
        <v> </v>
      </c>
      <c r="C13" s="57"/>
      <c r="D13" s="58"/>
      <c r="E13" s="59"/>
      <c r="F13" s="60"/>
      <c r="G13" s="60"/>
      <c r="H13" s="61"/>
      <c r="I13" s="62"/>
      <c r="J13" s="63"/>
      <c r="K13" s="64"/>
      <c r="L13" s="65"/>
      <c r="M13" s="66"/>
      <c r="N13" s="65"/>
      <c r="O13" s="64"/>
      <c r="P13" s="67"/>
      <c r="Q13" s="68">
        <f t="shared" si="5"/>
        <v>0</v>
      </c>
      <c r="R13" s="69">
        <f t="shared" si="6"/>
        <v>0</v>
      </c>
      <c r="S13" s="70" t="str">
        <f t="shared" si="7"/>
        <v/>
      </c>
      <c r="T13" s="71" t="str">
        <f t="shared" si="8"/>
        <v/>
      </c>
      <c r="U13" s="72">
        <f t="shared" si="9"/>
        <v>0</v>
      </c>
      <c r="V13" s="60" t="b">
        <v>0</v>
      </c>
      <c r="W13" s="73"/>
    </row>
    <row r="14">
      <c r="A14" s="46">
        <f t="shared" si="10"/>
        <v>1</v>
      </c>
      <c r="B14" s="56" t="str">
        <f t="shared" si="4"/>
        <v> </v>
      </c>
      <c r="C14" s="57"/>
      <c r="D14" s="58"/>
      <c r="E14" s="59"/>
      <c r="F14" s="60"/>
      <c r="G14" s="60"/>
      <c r="H14" s="61"/>
      <c r="I14" s="62"/>
      <c r="J14" s="63"/>
      <c r="K14" s="64"/>
      <c r="L14" s="65"/>
      <c r="M14" s="66"/>
      <c r="N14" s="65"/>
      <c r="O14" s="64"/>
      <c r="P14" s="67"/>
      <c r="Q14" s="68">
        <f t="shared" si="5"/>
        <v>0</v>
      </c>
      <c r="R14" s="69">
        <f t="shared" si="6"/>
        <v>0</v>
      </c>
      <c r="S14" s="70" t="str">
        <f t="shared" si="7"/>
        <v/>
      </c>
      <c r="T14" s="71" t="str">
        <f t="shared" si="8"/>
        <v/>
      </c>
      <c r="U14" s="72">
        <f t="shared" si="9"/>
        <v>0</v>
      </c>
      <c r="V14" s="60" t="b">
        <v>0</v>
      </c>
      <c r="W14" s="73"/>
    </row>
    <row r="15">
      <c r="A15" s="46">
        <f t="shared" si="10"/>
        <v>1</v>
      </c>
      <c r="B15" s="56" t="str">
        <f t="shared" si="4"/>
        <v> </v>
      </c>
      <c r="C15" s="57"/>
      <c r="D15" s="58"/>
      <c r="E15" s="59"/>
      <c r="F15" s="60"/>
      <c r="G15" s="60"/>
      <c r="H15" s="61"/>
      <c r="I15" s="62"/>
      <c r="J15" s="63"/>
      <c r="K15" s="64"/>
      <c r="L15" s="65"/>
      <c r="M15" s="66"/>
      <c r="N15" s="65"/>
      <c r="O15" s="64"/>
      <c r="P15" s="67"/>
      <c r="Q15" s="68">
        <f t="shared" si="5"/>
        <v>0</v>
      </c>
      <c r="R15" s="69">
        <f t="shared" si="6"/>
        <v>0</v>
      </c>
      <c r="S15" s="70" t="str">
        <f t="shared" si="7"/>
        <v/>
      </c>
      <c r="T15" s="71" t="str">
        <f t="shared" si="8"/>
        <v/>
      </c>
      <c r="U15" s="72">
        <f t="shared" si="9"/>
        <v>0</v>
      </c>
      <c r="V15" s="60" t="b">
        <v>0</v>
      </c>
      <c r="W15" s="73"/>
    </row>
    <row r="16">
      <c r="A16" s="46">
        <f t="shared" si="10"/>
        <v>1</v>
      </c>
      <c r="B16" s="56" t="str">
        <f t="shared" si="4"/>
        <v> </v>
      </c>
      <c r="C16" s="57"/>
      <c r="D16" s="58"/>
      <c r="E16" s="59"/>
      <c r="F16" s="60"/>
      <c r="G16" s="60"/>
      <c r="H16" s="61"/>
      <c r="I16" s="62"/>
      <c r="J16" s="63"/>
      <c r="K16" s="64"/>
      <c r="L16" s="65"/>
      <c r="M16" s="66"/>
      <c r="N16" s="65"/>
      <c r="O16" s="64"/>
      <c r="P16" s="67"/>
      <c r="Q16" s="68">
        <f t="shared" si="5"/>
        <v>0</v>
      </c>
      <c r="R16" s="69">
        <f t="shared" si="6"/>
        <v>0</v>
      </c>
      <c r="S16" s="70" t="str">
        <f t="shared" si="7"/>
        <v/>
      </c>
      <c r="T16" s="71" t="str">
        <f t="shared" si="8"/>
        <v/>
      </c>
      <c r="U16" s="72">
        <f t="shared" si="9"/>
        <v>0</v>
      </c>
      <c r="V16" s="60" t="b">
        <v>0</v>
      </c>
      <c r="W16" s="73"/>
    </row>
    <row r="17">
      <c r="A17" s="46">
        <f t="shared" si="10"/>
        <v>1</v>
      </c>
      <c r="B17" s="56" t="str">
        <f t="shared" si="4"/>
        <v> </v>
      </c>
      <c r="C17" s="57"/>
      <c r="D17" s="58"/>
      <c r="E17" s="59"/>
      <c r="F17" s="60"/>
      <c r="G17" s="60"/>
      <c r="H17" s="61"/>
      <c r="I17" s="62"/>
      <c r="J17" s="63"/>
      <c r="K17" s="64"/>
      <c r="L17" s="65"/>
      <c r="M17" s="66"/>
      <c r="N17" s="65"/>
      <c r="O17" s="64"/>
      <c r="P17" s="67"/>
      <c r="Q17" s="68">
        <f t="shared" si="5"/>
        <v>0</v>
      </c>
      <c r="R17" s="69">
        <f t="shared" si="6"/>
        <v>0</v>
      </c>
      <c r="S17" s="70" t="str">
        <f t="shared" si="7"/>
        <v/>
      </c>
      <c r="T17" s="71" t="str">
        <f t="shared" si="8"/>
        <v/>
      </c>
      <c r="U17" s="72">
        <f t="shared" si="9"/>
        <v>0</v>
      </c>
      <c r="V17" s="60" t="b">
        <v>0</v>
      </c>
      <c r="W17" s="73"/>
    </row>
    <row r="18">
      <c r="A18" s="46">
        <f t="shared" si="10"/>
        <v>1</v>
      </c>
      <c r="B18" s="56" t="str">
        <f t="shared" si="4"/>
        <v> </v>
      </c>
      <c r="C18" s="57"/>
      <c r="D18" s="58"/>
      <c r="E18" s="59"/>
      <c r="F18" s="60"/>
      <c r="G18" s="60"/>
      <c r="H18" s="61"/>
      <c r="I18" s="62"/>
      <c r="J18" s="63"/>
      <c r="K18" s="64"/>
      <c r="L18" s="65"/>
      <c r="M18" s="66"/>
      <c r="N18" s="65"/>
      <c r="O18" s="64"/>
      <c r="P18" s="67"/>
      <c r="Q18" s="68">
        <f t="shared" si="5"/>
        <v>0</v>
      </c>
      <c r="R18" s="69">
        <f t="shared" si="6"/>
        <v>0</v>
      </c>
      <c r="S18" s="70" t="str">
        <f t="shared" si="7"/>
        <v/>
      </c>
      <c r="T18" s="71" t="str">
        <f t="shared" si="8"/>
        <v/>
      </c>
      <c r="U18" s="72">
        <f t="shared" si="9"/>
        <v>0</v>
      </c>
      <c r="V18" s="60" t="b">
        <v>0</v>
      </c>
      <c r="W18" s="73"/>
    </row>
    <row r="19">
      <c r="A19" s="46"/>
      <c r="B19" s="56"/>
      <c r="C19" s="57"/>
      <c r="D19" s="58"/>
      <c r="E19" s="59"/>
      <c r="F19" s="60"/>
      <c r="G19" s="60"/>
      <c r="H19" s="61"/>
      <c r="I19" s="62"/>
      <c r="J19" s="63"/>
      <c r="K19" s="64"/>
      <c r="L19" s="65"/>
      <c r="M19" s="66"/>
      <c r="N19" s="65"/>
      <c r="O19" s="64"/>
      <c r="P19" s="67"/>
      <c r="Q19" s="68"/>
      <c r="R19" s="69"/>
      <c r="S19" s="70"/>
      <c r="T19" s="71"/>
      <c r="U19" s="72"/>
      <c r="V19" s="60"/>
      <c r="W19" s="73"/>
    </row>
    <row r="20">
      <c r="A20" s="46">
        <f t="shared" ref="A20:A56" si="11">A19+(IF(C20="",0,1))</f>
        <v>0</v>
      </c>
      <c r="B20" s="56" t="str">
        <f t="shared" ref="B20:B56" si="12">IF(A20=A19," ",A20)</f>
        <v> </v>
      </c>
      <c r="C20" s="57"/>
      <c r="D20" s="58"/>
      <c r="E20" s="59"/>
      <c r="F20" s="60"/>
      <c r="G20" s="60"/>
      <c r="H20" s="61"/>
      <c r="I20" s="62"/>
      <c r="J20" s="63"/>
      <c r="K20" s="64"/>
      <c r="L20" s="65"/>
      <c r="M20" s="66"/>
      <c r="N20" s="65"/>
      <c r="O20" s="64"/>
      <c r="P20" s="67"/>
      <c r="Q20" s="68">
        <f t="shared" ref="Q20:Q56" si="13">IF(SUM(J20:P20)=0,IF(G20&lt;&gt;"",1,SUM(J20:P20)),SUM(J20:P20))</f>
        <v>0</v>
      </c>
      <c r="R20" s="69">
        <f t="shared" ref="R20:R56" si="14">Q20*D20</f>
        <v>0</v>
      </c>
      <c r="S20" s="70" t="str">
        <f t="shared" ref="S20:S56" si="15">IF(D20="",E20,IF(I20="ИП 7%",D20*Q20/0.93,IF(I20="ИП 8%",D20*Q20/0.92,IF(I20="ИП 10%",D20*Q20/0.9,IF(I20="СЗТ",D20*Q20/0.94,D20*Q20)))))</f>
        <v/>
      </c>
      <c r="T20" s="71" t="str">
        <f t="shared" ref="T20:T56" si="16">IF(E20="",S20,IF(I20="ИП 7%",E20*Q20/0.93,IF(I20="ИП 8%",E20*Q20/0.92,IF(I20="ИП 10%",E20*Q20/0.9,IF(I20="СЗТ",E20*Q20/0.94,E20*Q20)))))</f>
        <v/>
      </c>
      <c r="U20" s="72">
        <f t="shared" ref="U20:U56" si="17">S20-T20</f>
        <v>0</v>
      </c>
      <c r="V20" s="60" t="b">
        <v>0</v>
      </c>
      <c r="W20" s="73"/>
    </row>
    <row r="21">
      <c r="A21" s="46">
        <f t="shared" si="11"/>
        <v>0</v>
      </c>
      <c r="B21" s="56" t="str">
        <f t="shared" si="12"/>
        <v> </v>
      </c>
      <c r="C21" s="57"/>
      <c r="D21" s="58"/>
      <c r="E21" s="59"/>
      <c r="F21" s="60"/>
      <c r="G21" s="60"/>
      <c r="H21" s="61"/>
      <c r="I21" s="62"/>
      <c r="J21" s="63"/>
      <c r="K21" s="64"/>
      <c r="L21" s="65"/>
      <c r="M21" s="66"/>
      <c r="N21" s="65"/>
      <c r="O21" s="64"/>
      <c r="P21" s="67"/>
      <c r="Q21" s="68">
        <f t="shared" si="13"/>
        <v>0</v>
      </c>
      <c r="R21" s="69">
        <f t="shared" si="14"/>
        <v>0</v>
      </c>
      <c r="S21" s="70" t="str">
        <f t="shared" si="15"/>
        <v/>
      </c>
      <c r="T21" s="71" t="str">
        <f t="shared" si="16"/>
        <v/>
      </c>
      <c r="U21" s="72">
        <f t="shared" si="17"/>
        <v>0</v>
      </c>
      <c r="V21" s="60" t="b">
        <v>0</v>
      </c>
      <c r="W21" s="73"/>
    </row>
    <row r="22">
      <c r="A22" s="46">
        <f t="shared" si="11"/>
        <v>0</v>
      </c>
      <c r="B22" s="56" t="str">
        <f t="shared" si="12"/>
        <v> </v>
      </c>
      <c r="C22" s="57"/>
      <c r="D22" s="58" t="str">
        <f t="shared" ref="D22:D56" si="18">IF(G22="","",VLOOKUP(G22,'КАТАЛОГ'!B:E,4,FALSE))</f>
        <v/>
      </c>
      <c r="E22" s="59" t="str">
        <f t="shared" ref="E22:E56" si="19">IF(I22="Штат",0,D22)</f>
        <v/>
      </c>
      <c r="F22" s="60"/>
      <c r="G22" s="60"/>
      <c r="H22" s="61" t="str">
        <f t="shared" ref="H22:H56" si="20">IF(G22="","",VLOOKUP(G22,'КАТАЛОГ'!B:D,3,FALSE))</f>
        <v/>
      </c>
      <c r="I22" s="62"/>
      <c r="J22" s="63"/>
      <c r="K22" s="64"/>
      <c r="L22" s="65"/>
      <c r="M22" s="66"/>
      <c r="N22" s="65"/>
      <c r="O22" s="64"/>
      <c r="P22" s="67"/>
      <c r="Q22" s="68">
        <f t="shared" si="13"/>
        <v>0</v>
      </c>
      <c r="R22" s="69">
        <f t="shared" si="14"/>
        <v>0</v>
      </c>
      <c r="S22" s="70" t="str">
        <f t="shared" si="15"/>
        <v/>
      </c>
      <c r="T22" s="71" t="str">
        <f t="shared" si="16"/>
        <v/>
      </c>
      <c r="U22" s="72">
        <f t="shared" si="17"/>
        <v>0</v>
      </c>
      <c r="V22" s="60" t="b">
        <v>0</v>
      </c>
      <c r="W22" s="73"/>
    </row>
    <row r="23">
      <c r="A23" s="46">
        <f t="shared" si="11"/>
        <v>0</v>
      </c>
      <c r="B23" s="56" t="str">
        <f t="shared" si="12"/>
        <v> </v>
      </c>
      <c r="C23" s="57"/>
      <c r="D23" s="58" t="str">
        <f t="shared" si="18"/>
        <v/>
      </c>
      <c r="E23" s="59" t="str">
        <f t="shared" si="19"/>
        <v/>
      </c>
      <c r="F23" s="60"/>
      <c r="G23" s="60"/>
      <c r="H23" s="61" t="str">
        <f t="shared" si="20"/>
        <v/>
      </c>
      <c r="I23" s="62"/>
      <c r="J23" s="63"/>
      <c r="K23" s="64"/>
      <c r="L23" s="65"/>
      <c r="M23" s="66"/>
      <c r="N23" s="65"/>
      <c r="O23" s="64"/>
      <c r="P23" s="67"/>
      <c r="Q23" s="68">
        <f t="shared" si="13"/>
        <v>0</v>
      </c>
      <c r="R23" s="69">
        <f t="shared" si="14"/>
        <v>0</v>
      </c>
      <c r="S23" s="70" t="str">
        <f t="shared" si="15"/>
        <v/>
      </c>
      <c r="T23" s="71" t="str">
        <f t="shared" si="16"/>
        <v/>
      </c>
      <c r="U23" s="72">
        <f t="shared" si="17"/>
        <v>0</v>
      </c>
      <c r="V23" s="60" t="b">
        <v>0</v>
      </c>
      <c r="W23" s="73"/>
    </row>
    <row r="24">
      <c r="A24" s="46">
        <f t="shared" si="11"/>
        <v>0</v>
      </c>
      <c r="B24" s="56" t="str">
        <f t="shared" si="12"/>
        <v> </v>
      </c>
      <c r="C24" s="57"/>
      <c r="D24" s="58" t="str">
        <f t="shared" si="18"/>
        <v/>
      </c>
      <c r="E24" s="59" t="str">
        <f t="shared" si="19"/>
        <v/>
      </c>
      <c r="F24" s="60"/>
      <c r="G24" s="60"/>
      <c r="H24" s="61" t="str">
        <f t="shared" si="20"/>
        <v/>
      </c>
      <c r="I24" s="62"/>
      <c r="J24" s="63"/>
      <c r="K24" s="64"/>
      <c r="L24" s="65"/>
      <c r="M24" s="66"/>
      <c r="N24" s="65"/>
      <c r="O24" s="64"/>
      <c r="P24" s="67"/>
      <c r="Q24" s="68">
        <f t="shared" si="13"/>
        <v>0</v>
      </c>
      <c r="R24" s="69">
        <f t="shared" si="14"/>
        <v>0</v>
      </c>
      <c r="S24" s="70" t="str">
        <f t="shared" si="15"/>
        <v/>
      </c>
      <c r="T24" s="71" t="str">
        <f t="shared" si="16"/>
        <v/>
      </c>
      <c r="U24" s="72">
        <f t="shared" si="17"/>
        <v>0</v>
      </c>
      <c r="V24" s="60" t="b">
        <v>0</v>
      </c>
      <c r="W24" s="73"/>
    </row>
    <row r="25">
      <c r="A25" s="46">
        <f t="shared" si="11"/>
        <v>0</v>
      </c>
      <c r="B25" s="56" t="str">
        <f t="shared" si="12"/>
        <v> </v>
      </c>
      <c r="C25" s="57"/>
      <c r="D25" s="58" t="str">
        <f t="shared" si="18"/>
        <v/>
      </c>
      <c r="E25" s="59" t="str">
        <f t="shared" si="19"/>
        <v/>
      </c>
      <c r="F25" s="60"/>
      <c r="G25" s="60"/>
      <c r="H25" s="61" t="str">
        <f t="shared" si="20"/>
        <v/>
      </c>
      <c r="I25" s="62"/>
      <c r="J25" s="63"/>
      <c r="K25" s="64"/>
      <c r="L25" s="65"/>
      <c r="M25" s="66"/>
      <c r="N25" s="65"/>
      <c r="O25" s="64"/>
      <c r="P25" s="67"/>
      <c r="Q25" s="68">
        <f t="shared" si="13"/>
        <v>0</v>
      </c>
      <c r="R25" s="69">
        <f t="shared" si="14"/>
        <v>0</v>
      </c>
      <c r="S25" s="70" t="str">
        <f t="shared" si="15"/>
        <v/>
      </c>
      <c r="T25" s="71" t="str">
        <f t="shared" si="16"/>
        <v/>
      </c>
      <c r="U25" s="72">
        <f t="shared" si="17"/>
        <v>0</v>
      </c>
      <c r="V25" s="60" t="b">
        <v>0</v>
      </c>
      <c r="W25" s="73"/>
    </row>
    <row r="26">
      <c r="A26" s="46">
        <f t="shared" si="11"/>
        <v>0</v>
      </c>
      <c r="B26" s="56" t="str">
        <f t="shared" si="12"/>
        <v> </v>
      </c>
      <c r="C26" s="57"/>
      <c r="D26" s="58" t="str">
        <f t="shared" si="18"/>
        <v/>
      </c>
      <c r="E26" s="59" t="str">
        <f t="shared" si="19"/>
        <v/>
      </c>
      <c r="F26" s="60"/>
      <c r="G26" s="60"/>
      <c r="H26" s="61" t="str">
        <f t="shared" si="20"/>
        <v/>
      </c>
      <c r="I26" s="62"/>
      <c r="J26" s="63"/>
      <c r="K26" s="64"/>
      <c r="L26" s="65"/>
      <c r="M26" s="66"/>
      <c r="N26" s="65"/>
      <c r="O26" s="64"/>
      <c r="P26" s="67"/>
      <c r="Q26" s="68">
        <f t="shared" si="13"/>
        <v>0</v>
      </c>
      <c r="R26" s="69">
        <f t="shared" si="14"/>
        <v>0</v>
      </c>
      <c r="S26" s="70" t="str">
        <f t="shared" si="15"/>
        <v/>
      </c>
      <c r="T26" s="71" t="str">
        <f t="shared" si="16"/>
        <v/>
      </c>
      <c r="U26" s="72">
        <f t="shared" si="17"/>
        <v>0</v>
      </c>
      <c r="V26" s="60" t="b">
        <v>0</v>
      </c>
      <c r="W26" s="73"/>
    </row>
    <row r="27">
      <c r="A27" s="46">
        <f t="shared" si="11"/>
        <v>0</v>
      </c>
      <c r="B27" s="56" t="str">
        <f t="shared" si="12"/>
        <v> </v>
      </c>
      <c r="C27" s="57"/>
      <c r="D27" s="58" t="str">
        <f t="shared" si="18"/>
        <v/>
      </c>
      <c r="E27" s="59" t="str">
        <f t="shared" si="19"/>
        <v/>
      </c>
      <c r="F27" s="60"/>
      <c r="G27" s="60"/>
      <c r="H27" s="61" t="str">
        <f t="shared" si="20"/>
        <v/>
      </c>
      <c r="I27" s="62"/>
      <c r="J27" s="63"/>
      <c r="K27" s="64"/>
      <c r="L27" s="65"/>
      <c r="M27" s="66"/>
      <c r="N27" s="65"/>
      <c r="O27" s="64"/>
      <c r="P27" s="67"/>
      <c r="Q27" s="68">
        <f t="shared" si="13"/>
        <v>0</v>
      </c>
      <c r="R27" s="69">
        <f t="shared" si="14"/>
        <v>0</v>
      </c>
      <c r="S27" s="70" t="str">
        <f t="shared" si="15"/>
        <v/>
      </c>
      <c r="T27" s="71" t="str">
        <f t="shared" si="16"/>
        <v/>
      </c>
      <c r="U27" s="72">
        <f t="shared" si="17"/>
        <v>0</v>
      </c>
      <c r="V27" s="60" t="b">
        <v>0</v>
      </c>
      <c r="W27" s="73"/>
    </row>
    <row r="28">
      <c r="A28" s="46">
        <f t="shared" si="11"/>
        <v>0</v>
      </c>
      <c r="B28" s="56" t="str">
        <f t="shared" si="12"/>
        <v> </v>
      </c>
      <c r="C28" s="57"/>
      <c r="D28" s="58" t="str">
        <f t="shared" si="18"/>
        <v/>
      </c>
      <c r="E28" s="59" t="str">
        <f t="shared" si="19"/>
        <v/>
      </c>
      <c r="F28" s="60"/>
      <c r="G28" s="60"/>
      <c r="H28" s="61" t="str">
        <f t="shared" si="20"/>
        <v/>
      </c>
      <c r="I28" s="62"/>
      <c r="J28" s="63"/>
      <c r="K28" s="64"/>
      <c r="L28" s="65"/>
      <c r="M28" s="66"/>
      <c r="N28" s="65"/>
      <c r="O28" s="64"/>
      <c r="P28" s="67"/>
      <c r="Q28" s="68">
        <f t="shared" si="13"/>
        <v>0</v>
      </c>
      <c r="R28" s="69">
        <f t="shared" si="14"/>
        <v>0</v>
      </c>
      <c r="S28" s="70" t="str">
        <f t="shared" si="15"/>
        <v/>
      </c>
      <c r="T28" s="71" t="str">
        <f t="shared" si="16"/>
        <v/>
      </c>
      <c r="U28" s="72">
        <f t="shared" si="17"/>
        <v>0</v>
      </c>
      <c r="V28" s="60" t="b">
        <v>0</v>
      </c>
      <c r="W28" s="73"/>
    </row>
    <row r="29">
      <c r="A29" s="46">
        <f t="shared" si="11"/>
        <v>0</v>
      </c>
      <c r="B29" s="56" t="str">
        <f t="shared" si="12"/>
        <v> </v>
      </c>
      <c r="C29" s="57"/>
      <c r="D29" s="58" t="str">
        <f t="shared" si="18"/>
        <v/>
      </c>
      <c r="E29" s="59" t="str">
        <f t="shared" si="19"/>
        <v/>
      </c>
      <c r="F29" s="60"/>
      <c r="G29" s="60"/>
      <c r="H29" s="61" t="str">
        <f t="shared" si="20"/>
        <v/>
      </c>
      <c r="I29" s="62"/>
      <c r="J29" s="63"/>
      <c r="K29" s="64"/>
      <c r="L29" s="65"/>
      <c r="M29" s="66"/>
      <c r="N29" s="65"/>
      <c r="O29" s="64"/>
      <c r="P29" s="67"/>
      <c r="Q29" s="68">
        <f t="shared" si="13"/>
        <v>0</v>
      </c>
      <c r="R29" s="69">
        <f t="shared" si="14"/>
        <v>0</v>
      </c>
      <c r="S29" s="70" t="str">
        <f t="shared" si="15"/>
        <v/>
      </c>
      <c r="T29" s="71" t="str">
        <f t="shared" si="16"/>
        <v/>
      </c>
      <c r="U29" s="72">
        <f t="shared" si="17"/>
        <v>0</v>
      </c>
      <c r="V29" s="60" t="b">
        <v>0</v>
      </c>
      <c r="W29" s="73"/>
    </row>
    <row r="30">
      <c r="A30" s="46">
        <f t="shared" si="11"/>
        <v>0</v>
      </c>
      <c r="B30" s="56" t="str">
        <f t="shared" si="12"/>
        <v> </v>
      </c>
      <c r="C30" s="57"/>
      <c r="D30" s="58" t="str">
        <f t="shared" si="18"/>
        <v/>
      </c>
      <c r="E30" s="59" t="str">
        <f t="shared" si="19"/>
        <v/>
      </c>
      <c r="F30" s="60"/>
      <c r="G30" s="60"/>
      <c r="H30" s="61" t="str">
        <f t="shared" si="20"/>
        <v/>
      </c>
      <c r="I30" s="62"/>
      <c r="J30" s="63"/>
      <c r="K30" s="64"/>
      <c r="L30" s="65"/>
      <c r="M30" s="66"/>
      <c r="N30" s="65"/>
      <c r="O30" s="64"/>
      <c r="P30" s="67"/>
      <c r="Q30" s="68">
        <f t="shared" si="13"/>
        <v>0</v>
      </c>
      <c r="R30" s="69">
        <f t="shared" si="14"/>
        <v>0</v>
      </c>
      <c r="S30" s="70" t="str">
        <f t="shared" si="15"/>
        <v/>
      </c>
      <c r="T30" s="71" t="str">
        <f t="shared" si="16"/>
        <v/>
      </c>
      <c r="U30" s="72">
        <f t="shared" si="17"/>
        <v>0</v>
      </c>
      <c r="V30" s="60" t="b">
        <v>0</v>
      </c>
      <c r="W30" s="73"/>
    </row>
    <row r="31">
      <c r="A31" s="46">
        <f t="shared" si="11"/>
        <v>0</v>
      </c>
      <c r="B31" s="56" t="str">
        <f t="shared" si="12"/>
        <v> </v>
      </c>
      <c r="C31" s="57"/>
      <c r="D31" s="58" t="str">
        <f t="shared" si="18"/>
        <v/>
      </c>
      <c r="E31" s="59" t="str">
        <f t="shared" si="19"/>
        <v/>
      </c>
      <c r="F31" s="60"/>
      <c r="G31" s="60"/>
      <c r="H31" s="61" t="str">
        <f t="shared" si="20"/>
        <v/>
      </c>
      <c r="I31" s="62"/>
      <c r="J31" s="63"/>
      <c r="K31" s="64"/>
      <c r="L31" s="65"/>
      <c r="M31" s="66"/>
      <c r="N31" s="65"/>
      <c r="O31" s="64"/>
      <c r="P31" s="67"/>
      <c r="Q31" s="68">
        <f t="shared" si="13"/>
        <v>0</v>
      </c>
      <c r="R31" s="69">
        <f t="shared" si="14"/>
        <v>0</v>
      </c>
      <c r="S31" s="70" t="str">
        <f t="shared" si="15"/>
        <v/>
      </c>
      <c r="T31" s="71" t="str">
        <f t="shared" si="16"/>
        <v/>
      </c>
      <c r="U31" s="72">
        <f t="shared" si="17"/>
        <v>0</v>
      </c>
      <c r="V31" s="60" t="b">
        <v>0</v>
      </c>
      <c r="W31" s="73"/>
    </row>
    <row r="32">
      <c r="A32" s="46">
        <f t="shared" si="11"/>
        <v>0</v>
      </c>
      <c r="B32" s="56" t="str">
        <f t="shared" si="12"/>
        <v> </v>
      </c>
      <c r="C32" s="57"/>
      <c r="D32" s="58" t="str">
        <f t="shared" si="18"/>
        <v/>
      </c>
      <c r="E32" s="59" t="str">
        <f t="shared" si="19"/>
        <v/>
      </c>
      <c r="F32" s="60"/>
      <c r="G32" s="60"/>
      <c r="H32" s="61" t="str">
        <f t="shared" si="20"/>
        <v/>
      </c>
      <c r="I32" s="62"/>
      <c r="J32" s="63"/>
      <c r="K32" s="64"/>
      <c r="L32" s="65"/>
      <c r="M32" s="66"/>
      <c r="N32" s="65"/>
      <c r="O32" s="64"/>
      <c r="P32" s="67"/>
      <c r="Q32" s="68">
        <f t="shared" si="13"/>
        <v>0</v>
      </c>
      <c r="R32" s="69">
        <f t="shared" si="14"/>
        <v>0</v>
      </c>
      <c r="S32" s="70" t="str">
        <f t="shared" si="15"/>
        <v/>
      </c>
      <c r="T32" s="71" t="str">
        <f t="shared" si="16"/>
        <v/>
      </c>
      <c r="U32" s="72">
        <f t="shared" si="17"/>
        <v>0</v>
      </c>
      <c r="V32" s="60" t="b">
        <v>0</v>
      </c>
      <c r="W32" s="73"/>
    </row>
    <row r="33">
      <c r="A33" s="46">
        <f t="shared" si="11"/>
        <v>0</v>
      </c>
      <c r="B33" s="56" t="str">
        <f t="shared" si="12"/>
        <v> </v>
      </c>
      <c r="C33" s="57"/>
      <c r="D33" s="58" t="str">
        <f t="shared" si="18"/>
        <v/>
      </c>
      <c r="E33" s="59" t="str">
        <f t="shared" si="19"/>
        <v/>
      </c>
      <c r="F33" s="60"/>
      <c r="G33" s="60"/>
      <c r="H33" s="61" t="str">
        <f t="shared" si="20"/>
        <v/>
      </c>
      <c r="I33" s="62"/>
      <c r="J33" s="63"/>
      <c r="K33" s="64"/>
      <c r="L33" s="65"/>
      <c r="M33" s="66"/>
      <c r="N33" s="65"/>
      <c r="O33" s="64"/>
      <c r="P33" s="67"/>
      <c r="Q33" s="68">
        <f t="shared" si="13"/>
        <v>0</v>
      </c>
      <c r="R33" s="69">
        <f t="shared" si="14"/>
        <v>0</v>
      </c>
      <c r="S33" s="70" t="str">
        <f t="shared" si="15"/>
        <v/>
      </c>
      <c r="T33" s="71" t="str">
        <f t="shared" si="16"/>
        <v/>
      </c>
      <c r="U33" s="72">
        <f t="shared" si="17"/>
        <v>0</v>
      </c>
      <c r="V33" s="60" t="b">
        <v>0</v>
      </c>
      <c r="W33" s="73"/>
    </row>
    <row r="34">
      <c r="A34" s="46">
        <f t="shared" si="11"/>
        <v>0</v>
      </c>
      <c r="B34" s="56" t="str">
        <f t="shared" si="12"/>
        <v> </v>
      </c>
      <c r="C34" s="57"/>
      <c r="D34" s="58" t="str">
        <f t="shared" si="18"/>
        <v/>
      </c>
      <c r="E34" s="59" t="str">
        <f t="shared" si="19"/>
        <v/>
      </c>
      <c r="F34" s="60"/>
      <c r="G34" s="60"/>
      <c r="H34" s="61" t="str">
        <f t="shared" si="20"/>
        <v/>
      </c>
      <c r="I34" s="62"/>
      <c r="J34" s="63"/>
      <c r="K34" s="64"/>
      <c r="L34" s="65"/>
      <c r="M34" s="66"/>
      <c r="N34" s="65"/>
      <c r="O34" s="64"/>
      <c r="P34" s="67"/>
      <c r="Q34" s="68">
        <f t="shared" si="13"/>
        <v>0</v>
      </c>
      <c r="R34" s="69">
        <f t="shared" si="14"/>
        <v>0</v>
      </c>
      <c r="S34" s="70" t="str">
        <f t="shared" si="15"/>
        <v/>
      </c>
      <c r="T34" s="71" t="str">
        <f t="shared" si="16"/>
        <v/>
      </c>
      <c r="U34" s="72">
        <f t="shared" si="17"/>
        <v>0</v>
      </c>
      <c r="V34" s="60" t="b">
        <v>0</v>
      </c>
      <c r="W34" s="73"/>
    </row>
    <row r="35">
      <c r="A35" s="46">
        <f t="shared" si="11"/>
        <v>0</v>
      </c>
      <c r="B35" s="56" t="str">
        <f t="shared" si="12"/>
        <v> </v>
      </c>
      <c r="C35" s="57"/>
      <c r="D35" s="58" t="str">
        <f t="shared" si="18"/>
        <v/>
      </c>
      <c r="E35" s="59" t="str">
        <f t="shared" si="19"/>
        <v/>
      </c>
      <c r="F35" s="60"/>
      <c r="G35" s="60"/>
      <c r="H35" s="61" t="str">
        <f t="shared" si="20"/>
        <v/>
      </c>
      <c r="I35" s="62"/>
      <c r="J35" s="63"/>
      <c r="K35" s="64"/>
      <c r="L35" s="65"/>
      <c r="M35" s="66"/>
      <c r="N35" s="65"/>
      <c r="O35" s="64"/>
      <c r="P35" s="67"/>
      <c r="Q35" s="68">
        <f t="shared" si="13"/>
        <v>0</v>
      </c>
      <c r="R35" s="69">
        <f t="shared" si="14"/>
        <v>0</v>
      </c>
      <c r="S35" s="70" t="str">
        <f t="shared" si="15"/>
        <v/>
      </c>
      <c r="T35" s="71" t="str">
        <f t="shared" si="16"/>
        <v/>
      </c>
      <c r="U35" s="72">
        <f t="shared" si="17"/>
        <v>0</v>
      </c>
      <c r="V35" s="60" t="b">
        <v>0</v>
      </c>
      <c r="W35" s="73"/>
    </row>
    <row r="36">
      <c r="A36" s="46">
        <f t="shared" si="11"/>
        <v>0</v>
      </c>
      <c r="B36" s="56" t="str">
        <f t="shared" si="12"/>
        <v> </v>
      </c>
      <c r="C36" s="57"/>
      <c r="D36" s="58" t="str">
        <f t="shared" si="18"/>
        <v/>
      </c>
      <c r="E36" s="59" t="str">
        <f t="shared" si="19"/>
        <v/>
      </c>
      <c r="F36" s="60"/>
      <c r="G36" s="60"/>
      <c r="H36" s="61" t="str">
        <f t="shared" si="20"/>
        <v/>
      </c>
      <c r="I36" s="62"/>
      <c r="J36" s="63"/>
      <c r="K36" s="64"/>
      <c r="L36" s="65"/>
      <c r="M36" s="66"/>
      <c r="N36" s="65"/>
      <c r="O36" s="64"/>
      <c r="P36" s="67"/>
      <c r="Q36" s="68">
        <f t="shared" si="13"/>
        <v>0</v>
      </c>
      <c r="R36" s="69">
        <f t="shared" si="14"/>
        <v>0</v>
      </c>
      <c r="S36" s="70" t="str">
        <f t="shared" si="15"/>
        <v/>
      </c>
      <c r="T36" s="71" t="str">
        <f t="shared" si="16"/>
        <v/>
      </c>
      <c r="U36" s="72">
        <f t="shared" si="17"/>
        <v>0</v>
      </c>
      <c r="V36" s="60" t="b">
        <v>0</v>
      </c>
      <c r="W36" s="73"/>
    </row>
    <row r="37">
      <c r="A37" s="46">
        <f t="shared" si="11"/>
        <v>0</v>
      </c>
      <c r="B37" s="56" t="str">
        <f t="shared" si="12"/>
        <v> </v>
      </c>
      <c r="C37" s="57"/>
      <c r="D37" s="58" t="str">
        <f t="shared" si="18"/>
        <v/>
      </c>
      <c r="E37" s="59" t="str">
        <f t="shared" si="19"/>
        <v/>
      </c>
      <c r="F37" s="60"/>
      <c r="G37" s="60"/>
      <c r="H37" s="61" t="str">
        <f t="shared" si="20"/>
        <v/>
      </c>
      <c r="I37" s="62"/>
      <c r="J37" s="63"/>
      <c r="K37" s="64"/>
      <c r="L37" s="65"/>
      <c r="M37" s="66"/>
      <c r="N37" s="65"/>
      <c r="O37" s="64"/>
      <c r="P37" s="67"/>
      <c r="Q37" s="68">
        <f t="shared" si="13"/>
        <v>0</v>
      </c>
      <c r="R37" s="69">
        <f t="shared" si="14"/>
        <v>0</v>
      </c>
      <c r="S37" s="70" t="str">
        <f t="shared" si="15"/>
        <v/>
      </c>
      <c r="T37" s="71" t="str">
        <f t="shared" si="16"/>
        <v/>
      </c>
      <c r="U37" s="72">
        <f t="shared" si="17"/>
        <v>0</v>
      </c>
      <c r="V37" s="60" t="b">
        <v>0</v>
      </c>
      <c r="W37" s="73"/>
    </row>
    <row r="38">
      <c r="A38" s="46">
        <f t="shared" si="11"/>
        <v>0</v>
      </c>
      <c r="B38" s="56" t="str">
        <f t="shared" si="12"/>
        <v> </v>
      </c>
      <c r="C38" s="57"/>
      <c r="D38" s="58" t="str">
        <f t="shared" si="18"/>
        <v/>
      </c>
      <c r="E38" s="59" t="str">
        <f t="shared" si="19"/>
        <v/>
      </c>
      <c r="F38" s="60"/>
      <c r="G38" s="60"/>
      <c r="H38" s="61" t="str">
        <f t="shared" si="20"/>
        <v/>
      </c>
      <c r="I38" s="62"/>
      <c r="J38" s="63"/>
      <c r="K38" s="64"/>
      <c r="L38" s="65"/>
      <c r="M38" s="66"/>
      <c r="N38" s="65"/>
      <c r="O38" s="64"/>
      <c r="P38" s="67"/>
      <c r="Q38" s="68">
        <f t="shared" si="13"/>
        <v>0</v>
      </c>
      <c r="R38" s="69">
        <f t="shared" si="14"/>
        <v>0</v>
      </c>
      <c r="S38" s="70" t="str">
        <f t="shared" si="15"/>
        <v/>
      </c>
      <c r="T38" s="71" t="str">
        <f t="shared" si="16"/>
        <v/>
      </c>
      <c r="U38" s="72">
        <f t="shared" si="17"/>
        <v>0</v>
      </c>
      <c r="V38" s="60" t="b">
        <v>0</v>
      </c>
      <c r="W38" s="73"/>
    </row>
    <row r="39">
      <c r="A39" s="46">
        <f t="shared" si="11"/>
        <v>0</v>
      </c>
      <c r="B39" s="56" t="str">
        <f t="shared" si="12"/>
        <v> </v>
      </c>
      <c r="C39" s="57"/>
      <c r="D39" s="58" t="str">
        <f t="shared" si="18"/>
        <v/>
      </c>
      <c r="E39" s="59" t="str">
        <f t="shared" si="19"/>
        <v/>
      </c>
      <c r="F39" s="60"/>
      <c r="G39" s="60"/>
      <c r="H39" s="61" t="str">
        <f t="shared" si="20"/>
        <v/>
      </c>
      <c r="I39" s="62"/>
      <c r="J39" s="63"/>
      <c r="K39" s="64"/>
      <c r="L39" s="65"/>
      <c r="M39" s="66"/>
      <c r="N39" s="65"/>
      <c r="O39" s="64"/>
      <c r="P39" s="67"/>
      <c r="Q39" s="68">
        <f t="shared" si="13"/>
        <v>0</v>
      </c>
      <c r="R39" s="69">
        <f t="shared" si="14"/>
        <v>0</v>
      </c>
      <c r="S39" s="70" t="str">
        <f t="shared" si="15"/>
        <v/>
      </c>
      <c r="T39" s="71" t="str">
        <f t="shared" si="16"/>
        <v/>
      </c>
      <c r="U39" s="72">
        <f t="shared" si="17"/>
        <v>0</v>
      </c>
      <c r="V39" s="60" t="b">
        <v>0</v>
      </c>
      <c r="W39" s="73"/>
    </row>
    <row r="40">
      <c r="A40" s="46">
        <f t="shared" si="11"/>
        <v>0</v>
      </c>
      <c r="B40" s="56" t="str">
        <f t="shared" si="12"/>
        <v> </v>
      </c>
      <c r="C40" s="57"/>
      <c r="D40" s="58" t="str">
        <f t="shared" si="18"/>
        <v/>
      </c>
      <c r="E40" s="59" t="str">
        <f t="shared" si="19"/>
        <v/>
      </c>
      <c r="F40" s="60"/>
      <c r="G40" s="60"/>
      <c r="H40" s="61" t="str">
        <f t="shared" si="20"/>
        <v/>
      </c>
      <c r="I40" s="62"/>
      <c r="J40" s="63"/>
      <c r="K40" s="64"/>
      <c r="L40" s="65"/>
      <c r="M40" s="66"/>
      <c r="N40" s="65"/>
      <c r="O40" s="64"/>
      <c r="P40" s="67"/>
      <c r="Q40" s="68">
        <f t="shared" si="13"/>
        <v>0</v>
      </c>
      <c r="R40" s="69">
        <f t="shared" si="14"/>
        <v>0</v>
      </c>
      <c r="S40" s="70" t="str">
        <f t="shared" si="15"/>
        <v/>
      </c>
      <c r="T40" s="71" t="str">
        <f t="shared" si="16"/>
        <v/>
      </c>
      <c r="U40" s="72">
        <f t="shared" si="17"/>
        <v>0</v>
      </c>
      <c r="V40" s="60" t="b">
        <v>0</v>
      </c>
      <c r="W40" s="73"/>
    </row>
    <row r="41">
      <c r="A41" s="46">
        <f t="shared" si="11"/>
        <v>0</v>
      </c>
      <c r="B41" s="56" t="str">
        <f t="shared" si="12"/>
        <v> </v>
      </c>
      <c r="C41" s="57"/>
      <c r="D41" s="58" t="str">
        <f t="shared" si="18"/>
        <v/>
      </c>
      <c r="E41" s="59" t="str">
        <f t="shared" si="19"/>
        <v/>
      </c>
      <c r="F41" s="60"/>
      <c r="G41" s="60"/>
      <c r="H41" s="61" t="str">
        <f t="shared" si="20"/>
        <v/>
      </c>
      <c r="I41" s="62"/>
      <c r="J41" s="63"/>
      <c r="K41" s="64"/>
      <c r="L41" s="65"/>
      <c r="M41" s="66"/>
      <c r="N41" s="65"/>
      <c r="O41" s="64"/>
      <c r="P41" s="67"/>
      <c r="Q41" s="68">
        <f t="shared" si="13"/>
        <v>0</v>
      </c>
      <c r="R41" s="69">
        <f t="shared" si="14"/>
        <v>0</v>
      </c>
      <c r="S41" s="70" t="str">
        <f t="shared" si="15"/>
        <v/>
      </c>
      <c r="T41" s="71" t="str">
        <f t="shared" si="16"/>
        <v/>
      </c>
      <c r="U41" s="72">
        <f t="shared" si="17"/>
        <v>0</v>
      </c>
      <c r="V41" s="60" t="b">
        <v>0</v>
      </c>
      <c r="W41" s="73"/>
    </row>
    <row r="42">
      <c r="A42" s="46">
        <f t="shared" si="11"/>
        <v>0</v>
      </c>
      <c r="B42" s="56" t="str">
        <f t="shared" si="12"/>
        <v> </v>
      </c>
      <c r="C42" s="57"/>
      <c r="D42" s="58" t="str">
        <f t="shared" si="18"/>
        <v/>
      </c>
      <c r="E42" s="59" t="str">
        <f t="shared" si="19"/>
        <v/>
      </c>
      <c r="F42" s="60"/>
      <c r="G42" s="60"/>
      <c r="H42" s="61" t="str">
        <f t="shared" si="20"/>
        <v/>
      </c>
      <c r="I42" s="62"/>
      <c r="J42" s="63"/>
      <c r="K42" s="64"/>
      <c r="L42" s="65"/>
      <c r="M42" s="66"/>
      <c r="N42" s="65"/>
      <c r="O42" s="64"/>
      <c r="P42" s="67"/>
      <c r="Q42" s="68">
        <f t="shared" si="13"/>
        <v>0</v>
      </c>
      <c r="R42" s="69">
        <f t="shared" si="14"/>
        <v>0</v>
      </c>
      <c r="S42" s="70" t="str">
        <f t="shared" si="15"/>
        <v/>
      </c>
      <c r="T42" s="71" t="str">
        <f t="shared" si="16"/>
        <v/>
      </c>
      <c r="U42" s="72">
        <f t="shared" si="17"/>
        <v>0</v>
      </c>
      <c r="V42" s="60" t="b">
        <v>0</v>
      </c>
      <c r="W42" s="73"/>
    </row>
    <row r="43">
      <c r="A43" s="46">
        <f t="shared" si="11"/>
        <v>0</v>
      </c>
      <c r="B43" s="56" t="str">
        <f t="shared" si="12"/>
        <v> </v>
      </c>
      <c r="C43" s="57"/>
      <c r="D43" s="58" t="str">
        <f t="shared" si="18"/>
        <v/>
      </c>
      <c r="E43" s="59" t="str">
        <f t="shared" si="19"/>
        <v/>
      </c>
      <c r="F43" s="60"/>
      <c r="G43" s="60"/>
      <c r="H43" s="61" t="str">
        <f t="shared" si="20"/>
        <v/>
      </c>
      <c r="I43" s="62"/>
      <c r="J43" s="63"/>
      <c r="K43" s="64"/>
      <c r="L43" s="65"/>
      <c r="M43" s="66"/>
      <c r="N43" s="65"/>
      <c r="O43" s="64"/>
      <c r="P43" s="67"/>
      <c r="Q43" s="68">
        <f t="shared" si="13"/>
        <v>0</v>
      </c>
      <c r="R43" s="69">
        <f t="shared" si="14"/>
        <v>0</v>
      </c>
      <c r="S43" s="70" t="str">
        <f t="shared" si="15"/>
        <v/>
      </c>
      <c r="T43" s="71" t="str">
        <f t="shared" si="16"/>
        <v/>
      </c>
      <c r="U43" s="72">
        <f t="shared" si="17"/>
        <v>0</v>
      </c>
      <c r="V43" s="60" t="b">
        <v>0</v>
      </c>
      <c r="W43" s="73"/>
    </row>
    <row r="44">
      <c r="A44" s="46">
        <f t="shared" si="11"/>
        <v>0</v>
      </c>
      <c r="B44" s="56" t="str">
        <f t="shared" si="12"/>
        <v> </v>
      </c>
      <c r="C44" s="57"/>
      <c r="D44" s="58" t="str">
        <f t="shared" si="18"/>
        <v/>
      </c>
      <c r="E44" s="59" t="str">
        <f t="shared" si="19"/>
        <v/>
      </c>
      <c r="F44" s="60"/>
      <c r="G44" s="60"/>
      <c r="H44" s="61" t="str">
        <f t="shared" si="20"/>
        <v/>
      </c>
      <c r="I44" s="62"/>
      <c r="J44" s="63"/>
      <c r="K44" s="64"/>
      <c r="L44" s="65"/>
      <c r="M44" s="66"/>
      <c r="N44" s="65"/>
      <c r="O44" s="64"/>
      <c r="P44" s="67"/>
      <c r="Q44" s="68">
        <f t="shared" si="13"/>
        <v>0</v>
      </c>
      <c r="R44" s="69">
        <f t="shared" si="14"/>
        <v>0</v>
      </c>
      <c r="S44" s="70" t="str">
        <f t="shared" si="15"/>
        <v/>
      </c>
      <c r="T44" s="71" t="str">
        <f t="shared" si="16"/>
        <v/>
      </c>
      <c r="U44" s="72">
        <f t="shared" si="17"/>
        <v>0</v>
      </c>
      <c r="V44" s="60" t="b">
        <v>0</v>
      </c>
      <c r="W44" s="73"/>
    </row>
    <row r="45">
      <c r="A45" s="46">
        <f t="shared" si="11"/>
        <v>0</v>
      </c>
      <c r="B45" s="56" t="str">
        <f t="shared" si="12"/>
        <v> </v>
      </c>
      <c r="C45" s="57"/>
      <c r="D45" s="58" t="str">
        <f t="shared" si="18"/>
        <v/>
      </c>
      <c r="E45" s="59" t="str">
        <f t="shared" si="19"/>
        <v/>
      </c>
      <c r="F45" s="60"/>
      <c r="G45" s="60"/>
      <c r="H45" s="61" t="str">
        <f t="shared" si="20"/>
        <v/>
      </c>
      <c r="I45" s="62"/>
      <c r="J45" s="63"/>
      <c r="K45" s="64"/>
      <c r="L45" s="65"/>
      <c r="M45" s="66"/>
      <c r="N45" s="65"/>
      <c r="O45" s="64"/>
      <c r="P45" s="67"/>
      <c r="Q45" s="68">
        <f t="shared" si="13"/>
        <v>0</v>
      </c>
      <c r="R45" s="69">
        <f t="shared" si="14"/>
        <v>0</v>
      </c>
      <c r="S45" s="70" t="str">
        <f t="shared" si="15"/>
        <v/>
      </c>
      <c r="T45" s="71" t="str">
        <f t="shared" si="16"/>
        <v/>
      </c>
      <c r="U45" s="72">
        <f t="shared" si="17"/>
        <v>0</v>
      </c>
      <c r="V45" s="60" t="b">
        <v>0</v>
      </c>
      <c r="W45" s="73"/>
    </row>
    <row r="46">
      <c r="A46" s="46">
        <f t="shared" si="11"/>
        <v>0</v>
      </c>
      <c r="B46" s="56" t="str">
        <f t="shared" si="12"/>
        <v> </v>
      </c>
      <c r="C46" s="57"/>
      <c r="D46" s="58" t="str">
        <f t="shared" si="18"/>
        <v/>
      </c>
      <c r="E46" s="59" t="str">
        <f t="shared" si="19"/>
        <v/>
      </c>
      <c r="F46" s="60"/>
      <c r="G46" s="60"/>
      <c r="H46" s="61" t="str">
        <f t="shared" si="20"/>
        <v/>
      </c>
      <c r="I46" s="62"/>
      <c r="J46" s="63"/>
      <c r="K46" s="64"/>
      <c r="L46" s="65"/>
      <c r="M46" s="66"/>
      <c r="N46" s="65"/>
      <c r="O46" s="64"/>
      <c r="P46" s="67"/>
      <c r="Q46" s="68">
        <f t="shared" si="13"/>
        <v>0</v>
      </c>
      <c r="R46" s="69">
        <f t="shared" si="14"/>
        <v>0</v>
      </c>
      <c r="S46" s="70" t="str">
        <f t="shared" si="15"/>
        <v/>
      </c>
      <c r="T46" s="71" t="str">
        <f t="shared" si="16"/>
        <v/>
      </c>
      <c r="U46" s="72">
        <f t="shared" si="17"/>
        <v>0</v>
      </c>
      <c r="V46" s="60" t="b">
        <v>0</v>
      </c>
      <c r="W46" s="73"/>
    </row>
    <row r="47">
      <c r="A47" s="46">
        <f t="shared" si="11"/>
        <v>0</v>
      </c>
      <c r="B47" s="56" t="str">
        <f t="shared" si="12"/>
        <v> </v>
      </c>
      <c r="C47" s="57"/>
      <c r="D47" s="58" t="str">
        <f t="shared" si="18"/>
        <v/>
      </c>
      <c r="E47" s="59" t="str">
        <f t="shared" si="19"/>
        <v/>
      </c>
      <c r="F47" s="60"/>
      <c r="G47" s="60"/>
      <c r="H47" s="61" t="str">
        <f t="shared" si="20"/>
        <v/>
      </c>
      <c r="I47" s="62"/>
      <c r="J47" s="63"/>
      <c r="K47" s="64"/>
      <c r="L47" s="65"/>
      <c r="M47" s="66"/>
      <c r="N47" s="65"/>
      <c r="O47" s="64"/>
      <c r="P47" s="67"/>
      <c r="Q47" s="68">
        <f t="shared" si="13"/>
        <v>0</v>
      </c>
      <c r="R47" s="69">
        <f t="shared" si="14"/>
        <v>0</v>
      </c>
      <c r="S47" s="70" t="str">
        <f t="shared" si="15"/>
        <v/>
      </c>
      <c r="T47" s="71" t="str">
        <f t="shared" si="16"/>
        <v/>
      </c>
      <c r="U47" s="72">
        <f t="shared" si="17"/>
        <v>0</v>
      </c>
      <c r="V47" s="60" t="b">
        <v>0</v>
      </c>
      <c r="W47" s="73"/>
    </row>
    <row r="48">
      <c r="A48" s="46">
        <f t="shared" si="11"/>
        <v>0</v>
      </c>
      <c r="B48" s="56" t="str">
        <f t="shared" si="12"/>
        <v> </v>
      </c>
      <c r="C48" s="57"/>
      <c r="D48" s="58" t="str">
        <f t="shared" si="18"/>
        <v/>
      </c>
      <c r="E48" s="59" t="str">
        <f t="shared" si="19"/>
        <v/>
      </c>
      <c r="F48" s="60"/>
      <c r="G48" s="60"/>
      <c r="H48" s="61" t="str">
        <f t="shared" si="20"/>
        <v/>
      </c>
      <c r="I48" s="62"/>
      <c r="J48" s="63"/>
      <c r="K48" s="64"/>
      <c r="L48" s="65"/>
      <c r="M48" s="66"/>
      <c r="N48" s="65"/>
      <c r="O48" s="64"/>
      <c r="P48" s="67"/>
      <c r="Q48" s="68">
        <f t="shared" si="13"/>
        <v>0</v>
      </c>
      <c r="R48" s="69">
        <f t="shared" si="14"/>
        <v>0</v>
      </c>
      <c r="S48" s="70" t="str">
        <f t="shared" si="15"/>
        <v/>
      </c>
      <c r="T48" s="71" t="str">
        <f t="shared" si="16"/>
        <v/>
      </c>
      <c r="U48" s="72">
        <f t="shared" si="17"/>
        <v>0</v>
      </c>
      <c r="V48" s="60" t="b">
        <v>0</v>
      </c>
      <c r="W48" s="73"/>
    </row>
    <row r="49">
      <c r="A49" s="46">
        <f t="shared" si="11"/>
        <v>0</v>
      </c>
      <c r="B49" s="56" t="str">
        <f t="shared" si="12"/>
        <v> </v>
      </c>
      <c r="C49" s="57"/>
      <c r="D49" s="58" t="str">
        <f t="shared" si="18"/>
        <v/>
      </c>
      <c r="E49" s="59" t="str">
        <f t="shared" si="19"/>
        <v/>
      </c>
      <c r="F49" s="60"/>
      <c r="G49" s="60"/>
      <c r="H49" s="61" t="str">
        <f t="shared" si="20"/>
        <v/>
      </c>
      <c r="I49" s="62"/>
      <c r="J49" s="63"/>
      <c r="K49" s="64"/>
      <c r="L49" s="65"/>
      <c r="M49" s="66"/>
      <c r="N49" s="65"/>
      <c r="O49" s="64"/>
      <c r="P49" s="67"/>
      <c r="Q49" s="68">
        <f t="shared" si="13"/>
        <v>0</v>
      </c>
      <c r="R49" s="69">
        <f t="shared" si="14"/>
        <v>0</v>
      </c>
      <c r="S49" s="70" t="str">
        <f t="shared" si="15"/>
        <v/>
      </c>
      <c r="T49" s="71" t="str">
        <f t="shared" si="16"/>
        <v/>
      </c>
      <c r="U49" s="72">
        <f t="shared" si="17"/>
        <v>0</v>
      </c>
      <c r="V49" s="60" t="b">
        <v>0</v>
      </c>
      <c r="W49" s="73"/>
    </row>
    <row r="50">
      <c r="A50" s="46">
        <f t="shared" si="11"/>
        <v>0</v>
      </c>
      <c r="B50" s="56" t="str">
        <f t="shared" si="12"/>
        <v> </v>
      </c>
      <c r="C50" s="57"/>
      <c r="D50" s="58" t="str">
        <f t="shared" si="18"/>
        <v/>
      </c>
      <c r="E50" s="59" t="str">
        <f t="shared" si="19"/>
        <v/>
      </c>
      <c r="F50" s="60"/>
      <c r="G50" s="60"/>
      <c r="H50" s="61" t="str">
        <f t="shared" si="20"/>
        <v/>
      </c>
      <c r="I50" s="62"/>
      <c r="J50" s="63"/>
      <c r="K50" s="64"/>
      <c r="L50" s="65"/>
      <c r="M50" s="66"/>
      <c r="N50" s="65"/>
      <c r="O50" s="64"/>
      <c r="P50" s="67"/>
      <c r="Q50" s="68">
        <f t="shared" si="13"/>
        <v>0</v>
      </c>
      <c r="R50" s="69">
        <f t="shared" si="14"/>
        <v>0</v>
      </c>
      <c r="S50" s="70" t="str">
        <f t="shared" si="15"/>
        <v/>
      </c>
      <c r="T50" s="71" t="str">
        <f t="shared" si="16"/>
        <v/>
      </c>
      <c r="U50" s="72">
        <f t="shared" si="17"/>
        <v>0</v>
      </c>
      <c r="V50" s="60" t="b">
        <v>0</v>
      </c>
      <c r="W50" s="73"/>
    </row>
    <row r="51">
      <c r="A51" s="46">
        <f t="shared" si="11"/>
        <v>0</v>
      </c>
      <c r="B51" s="56" t="str">
        <f t="shared" si="12"/>
        <v> </v>
      </c>
      <c r="C51" s="57"/>
      <c r="D51" s="58" t="str">
        <f t="shared" si="18"/>
        <v/>
      </c>
      <c r="E51" s="59" t="str">
        <f t="shared" si="19"/>
        <v/>
      </c>
      <c r="F51" s="60"/>
      <c r="G51" s="60"/>
      <c r="H51" s="61" t="str">
        <f t="shared" si="20"/>
        <v/>
      </c>
      <c r="I51" s="62"/>
      <c r="J51" s="63"/>
      <c r="K51" s="64"/>
      <c r="L51" s="65"/>
      <c r="M51" s="66"/>
      <c r="N51" s="65"/>
      <c r="O51" s="64"/>
      <c r="P51" s="67"/>
      <c r="Q51" s="68">
        <f t="shared" si="13"/>
        <v>0</v>
      </c>
      <c r="R51" s="69">
        <f t="shared" si="14"/>
        <v>0</v>
      </c>
      <c r="S51" s="70" t="str">
        <f t="shared" si="15"/>
        <v/>
      </c>
      <c r="T51" s="71" t="str">
        <f t="shared" si="16"/>
        <v/>
      </c>
      <c r="U51" s="72">
        <f t="shared" si="17"/>
        <v>0</v>
      </c>
      <c r="V51" s="60" t="b">
        <v>0</v>
      </c>
      <c r="W51" s="73"/>
    </row>
    <row r="52">
      <c r="A52" s="46">
        <f t="shared" si="11"/>
        <v>0</v>
      </c>
      <c r="B52" s="56" t="str">
        <f t="shared" si="12"/>
        <v> </v>
      </c>
      <c r="C52" s="57"/>
      <c r="D52" s="58" t="str">
        <f t="shared" si="18"/>
        <v/>
      </c>
      <c r="E52" s="59" t="str">
        <f t="shared" si="19"/>
        <v/>
      </c>
      <c r="F52" s="60"/>
      <c r="G52" s="60"/>
      <c r="H52" s="61" t="str">
        <f t="shared" si="20"/>
        <v/>
      </c>
      <c r="I52" s="62"/>
      <c r="J52" s="63"/>
      <c r="K52" s="64"/>
      <c r="L52" s="65"/>
      <c r="M52" s="66"/>
      <c r="N52" s="65"/>
      <c r="O52" s="64"/>
      <c r="P52" s="67"/>
      <c r="Q52" s="68">
        <f t="shared" si="13"/>
        <v>0</v>
      </c>
      <c r="R52" s="69">
        <f t="shared" si="14"/>
        <v>0</v>
      </c>
      <c r="S52" s="70" t="str">
        <f t="shared" si="15"/>
        <v/>
      </c>
      <c r="T52" s="71" t="str">
        <f t="shared" si="16"/>
        <v/>
      </c>
      <c r="U52" s="72">
        <f t="shared" si="17"/>
        <v>0</v>
      </c>
      <c r="V52" s="60" t="b">
        <v>0</v>
      </c>
      <c r="W52" s="73"/>
    </row>
    <row r="53">
      <c r="A53" s="46">
        <f t="shared" si="11"/>
        <v>0</v>
      </c>
      <c r="B53" s="56" t="str">
        <f t="shared" si="12"/>
        <v> </v>
      </c>
      <c r="C53" s="57"/>
      <c r="D53" s="58" t="str">
        <f t="shared" si="18"/>
        <v/>
      </c>
      <c r="E53" s="59" t="str">
        <f t="shared" si="19"/>
        <v/>
      </c>
      <c r="F53" s="60"/>
      <c r="G53" s="60"/>
      <c r="H53" s="61" t="str">
        <f t="shared" si="20"/>
        <v/>
      </c>
      <c r="I53" s="62"/>
      <c r="J53" s="63"/>
      <c r="K53" s="64"/>
      <c r="L53" s="65"/>
      <c r="M53" s="66"/>
      <c r="N53" s="65"/>
      <c r="O53" s="64"/>
      <c r="P53" s="67"/>
      <c r="Q53" s="68">
        <f t="shared" si="13"/>
        <v>0</v>
      </c>
      <c r="R53" s="69">
        <f t="shared" si="14"/>
        <v>0</v>
      </c>
      <c r="S53" s="70" t="str">
        <f t="shared" si="15"/>
        <v/>
      </c>
      <c r="T53" s="71" t="str">
        <f t="shared" si="16"/>
        <v/>
      </c>
      <c r="U53" s="72">
        <f t="shared" si="17"/>
        <v>0</v>
      </c>
      <c r="V53" s="60" t="b">
        <v>0</v>
      </c>
      <c r="W53" s="73"/>
    </row>
    <row r="54">
      <c r="A54" s="46">
        <f t="shared" si="11"/>
        <v>0</v>
      </c>
      <c r="B54" s="56" t="str">
        <f t="shared" si="12"/>
        <v> </v>
      </c>
      <c r="C54" s="57"/>
      <c r="D54" s="58" t="str">
        <f t="shared" si="18"/>
        <v/>
      </c>
      <c r="E54" s="59" t="str">
        <f t="shared" si="19"/>
        <v/>
      </c>
      <c r="F54" s="60"/>
      <c r="G54" s="60"/>
      <c r="H54" s="61" t="str">
        <f t="shared" si="20"/>
        <v/>
      </c>
      <c r="I54" s="62"/>
      <c r="J54" s="63"/>
      <c r="K54" s="64"/>
      <c r="L54" s="65"/>
      <c r="M54" s="66"/>
      <c r="N54" s="65"/>
      <c r="O54" s="64"/>
      <c r="P54" s="67"/>
      <c r="Q54" s="68">
        <f t="shared" si="13"/>
        <v>0</v>
      </c>
      <c r="R54" s="69">
        <f t="shared" si="14"/>
        <v>0</v>
      </c>
      <c r="S54" s="70" t="str">
        <f t="shared" si="15"/>
        <v/>
      </c>
      <c r="T54" s="71" t="str">
        <f t="shared" si="16"/>
        <v/>
      </c>
      <c r="U54" s="72">
        <f t="shared" si="17"/>
        <v>0</v>
      </c>
      <c r="V54" s="60" t="b">
        <v>0</v>
      </c>
      <c r="W54" s="73"/>
    </row>
    <row r="55">
      <c r="A55" s="46">
        <f t="shared" si="11"/>
        <v>0</v>
      </c>
      <c r="B55" s="56" t="str">
        <f t="shared" si="12"/>
        <v> </v>
      </c>
      <c r="C55" s="57"/>
      <c r="D55" s="58" t="str">
        <f t="shared" si="18"/>
        <v/>
      </c>
      <c r="E55" s="59" t="str">
        <f t="shared" si="19"/>
        <v/>
      </c>
      <c r="F55" s="60"/>
      <c r="G55" s="60"/>
      <c r="H55" s="61" t="str">
        <f t="shared" si="20"/>
        <v/>
      </c>
      <c r="I55" s="62"/>
      <c r="J55" s="63"/>
      <c r="K55" s="64"/>
      <c r="L55" s="65"/>
      <c r="M55" s="66"/>
      <c r="N55" s="65"/>
      <c r="O55" s="64"/>
      <c r="P55" s="67"/>
      <c r="Q55" s="68">
        <f t="shared" si="13"/>
        <v>0</v>
      </c>
      <c r="R55" s="69">
        <f t="shared" si="14"/>
        <v>0</v>
      </c>
      <c r="S55" s="70" t="str">
        <f t="shared" si="15"/>
        <v/>
      </c>
      <c r="T55" s="71" t="str">
        <f t="shared" si="16"/>
        <v/>
      </c>
      <c r="U55" s="72">
        <f t="shared" si="17"/>
        <v>0</v>
      </c>
      <c r="V55" s="60" t="b">
        <v>0</v>
      </c>
      <c r="W55" s="73"/>
    </row>
    <row r="56">
      <c r="A56" s="46">
        <f t="shared" si="11"/>
        <v>0</v>
      </c>
      <c r="B56" s="56" t="str">
        <f t="shared" si="12"/>
        <v> </v>
      </c>
      <c r="C56" s="57"/>
      <c r="D56" s="58" t="str">
        <f t="shared" si="18"/>
        <v/>
      </c>
      <c r="E56" s="59" t="str">
        <f t="shared" si="19"/>
        <v/>
      </c>
      <c r="F56" s="60"/>
      <c r="G56" s="60"/>
      <c r="H56" s="61" t="str">
        <f t="shared" si="20"/>
        <v/>
      </c>
      <c r="I56" s="62"/>
      <c r="J56" s="63"/>
      <c r="K56" s="64"/>
      <c r="L56" s="65"/>
      <c r="M56" s="66"/>
      <c r="N56" s="65"/>
      <c r="O56" s="64"/>
      <c r="P56" s="67"/>
      <c r="Q56" s="68">
        <f t="shared" si="13"/>
        <v>0</v>
      </c>
      <c r="R56" s="69">
        <f t="shared" si="14"/>
        <v>0</v>
      </c>
      <c r="S56" s="70" t="str">
        <f t="shared" si="15"/>
        <v/>
      </c>
      <c r="T56" s="71" t="str">
        <f t="shared" si="16"/>
        <v/>
      </c>
      <c r="U56" s="72">
        <f t="shared" si="17"/>
        <v>0</v>
      </c>
      <c r="V56" s="60" t="b">
        <v>0</v>
      </c>
      <c r="W56" s="73"/>
    </row>
    <row r="57" ht="14.25" customHeight="1">
      <c r="A57" s="37"/>
      <c r="B57" s="75" t="str">
        <f>D57</f>
        <v/>
      </c>
      <c r="C57" s="76"/>
      <c r="D57" s="76"/>
      <c r="E57" s="76"/>
      <c r="F57" s="76"/>
      <c r="G57" s="76"/>
      <c r="H57" s="76"/>
      <c r="I57" s="77"/>
      <c r="J57" s="78">
        <f t="shared" ref="J57:P57" si="21">SUM(J4:J56)</f>
        <v>0</v>
      </c>
      <c r="K57" s="79">
        <f t="shared" si="21"/>
        <v>0</v>
      </c>
      <c r="L57" s="79">
        <f t="shared" si="21"/>
        <v>1</v>
      </c>
      <c r="M57" s="80">
        <f t="shared" si="21"/>
        <v>1</v>
      </c>
      <c r="N57" s="79">
        <f t="shared" si="21"/>
        <v>0</v>
      </c>
      <c r="O57" s="79">
        <f t="shared" si="21"/>
        <v>0</v>
      </c>
      <c r="P57" s="81">
        <f t="shared" si="21"/>
        <v>0</v>
      </c>
      <c r="Q57" s="68">
        <f>SUM(K57:O57)</f>
        <v>2</v>
      </c>
      <c r="R57" s="82"/>
      <c r="S57" s="83"/>
      <c r="T57" s="76"/>
      <c r="U57" s="76"/>
      <c r="V57" s="77"/>
      <c r="W57" s="73"/>
    </row>
    <row r="58">
      <c r="A58" s="73"/>
      <c r="B58" s="84" t="s">
        <v>37</v>
      </c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7"/>
      <c r="R58" s="72">
        <f t="shared" ref="R58:T58" si="22">SUM(R4:R57)</f>
        <v>0</v>
      </c>
      <c r="S58" s="70">
        <f t="shared" si="22"/>
        <v>0</v>
      </c>
      <c r="T58" s="71">
        <f t="shared" si="22"/>
        <v>0</v>
      </c>
      <c r="U58" s="72"/>
      <c r="V58" s="85"/>
      <c r="W58" s="73"/>
    </row>
    <row r="59">
      <c r="A59" s="73"/>
      <c r="B59" s="86"/>
      <c r="C59" s="86"/>
      <c r="D59" s="87"/>
      <c r="E59" s="87"/>
      <c r="F59" s="86"/>
      <c r="G59" s="86"/>
      <c r="H59" s="47"/>
      <c r="I59" s="86"/>
      <c r="J59" s="86"/>
      <c r="K59" s="86"/>
      <c r="L59" s="86"/>
      <c r="M59" s="88"/>
      <c r="N59" s="86"/>
      <c r="O59" s="86"/>
      <c r="P59" s="86"/>
      <c r="Q59" s="86"/>
      <c r="R59" s="89"/>
      <c r="S59" s="87"/>
      <c r="T59" s="87"/>
      <c r="U59" s="89"/>
      <c r="V59" s="90"/>
      <c r="W59" s="73"/>
    </row>
  </sheetData>
  <mergeCells count="9">
    <mergeCell ref="B2:I2"/>
    <mergeCell ref="B57:I57"/>
    <mergeCell ref="S57:V57"/>
    <mergeCell ref="B58:Q58"/>
    <mergeCell ref="B1:I1"/>
    <mergeCell ref="J1:P1"/>
    <mergeCell ref="Q1:V1"/>
    <mergeCell ref="Q2:S2"/>
    <mergeCell ref="T2:V2"/>
  </mergeCells>
  <conditionalFormatting sqref="J2:P2">
    <cfRule type="containsText" dxfId="0" priority="1" operator="containsText" text="сб">
      <formula>NOT(ISERROR(SEARCH(("сб"),(J2))))</formula>
    </cfRule>
  </conditionalFormatting>
  <conditionalFormatting sqref="J2:P2">
    <cfRule type="containsText" dxfId="1" priority="2" operator="containsText" text="вс">
      <formula>NOT(ISERROR(SEARCH(("вс"),(J2))))</formula>
    </cfRule>
  </conditionalFormatting>
  <conditionalFormatting sqref="B4:I56 Q4:V56">
    <cfRule type="expression" dxfId="2" priority="3">
      <formula>$V4=TRUE</formula>
    </cfRule>
  </conditionalFormatting>
  <conditionalFormatting sqref="E4:E56 D10">
    <cfRule type="expression" dxfId="3" priority="4">
      <formula>E4&gt;D4</formula>
    </cfRule>
  </conditionalFormatting>
  <conditionalFormatting sqref="D4:D56">
    <cfRule type="notContainsBlanks" dxfId="4" priority="5">
      <formula>LEN(TRIM(D4))&gt;0</formula>
    </cfRule>
  </conditionalFormatting>
  <conditionalFormatting sqref="T4:T56">
    <cfRule type="cellIs" dxfId="4" priority="6" operator="lessThan">
      <formula>S4</formula>
    </cfRule>
  </conditionalFormatting>
  <conditionalFormatting sqref="U3:U56 U58:U59">
    <cfRule type="colorScale" priority="7">
      <colorScale>
        <cfvo type="formula" val="-10000"/>
        <cfvo type="formula" val="0"/>
        <cfvo type="formula" val="10000"/>
        <color rgb="FFE67C73"/>
        <color rgb="FFFFFFFF"/>
        <color rgb="FF6AA84F"/>
      </colorScale>
    </cfRule>
  </conditionalFormatting>
  <dataValidations>
    <dataValidation type="list" allowBlank="1" sqref="F4:F56">
      <formula1>"Случились переработки на смене,Получилось сбить цену,Специалист обновил стоимости,Получилось больше объема по задачам чем планировалось,Запланированная цена не соответствует рынку,Цена снижена для ММ"</formula1>
    </dataValidation>
    <dataValidation type="list" allowBlank="1" sqref="C4:C56">
      <formula1>IMPORT!$A$4:$A$1001</formula1>
    </dataValidation>
    <dataValidation type="list" allowBlank="1" sqref="G4:G56">
      <formula1>'КАТАЛОГ'!$B$4:$B$729</formula1>
    </dataValidation>
    <dataValidation type="list" allowBlank="1" showErrorMessage="1" sqref="I4:I56">
      <formula1>"ИП 7%,ИП 8%,ИП 10%,СЗТ,НАЛ,ШТАТ"</formula1>
    </dataValidation>
  </dataValidations>
  <drawing r:id="rId1"/>
</worksheet>
</file>