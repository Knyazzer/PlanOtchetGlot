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ВОД" sheetId="1" r:id="rId5"/>
  </sheets>
  <definedNames>
    <definedName hidden="1" localSheetId="0" name="_xlnm._FilterDatabase">'СВОД'!$A$2:$S$299</definedName>
  </definedNames>
  <calcPr/>
</workbook>
</file>

<file path=xl/sharedStrings.xml><?xml version="1.0" encoding="utf-8"?>
<sst xmlns="http://schemas.openxmlformats.org/spreadsheetml/2006/main" count="64" uniqueCount="51">
  <si>
    <t>Актуальный шаблон матрицы:</t>
  </si>
  <si>
    <t>ШАБЛОН Матрица v3.2: Клиент: Проект: 2025 01 01</t>
  </si>
  <si>
    <t>Стоимость</t>
  </si>
  <si>
    <t>Расходы</t>
  </si>
  <si>
    <t xml:space="preserve">Разница </t>
  </si>
  <si>
    <t>Есть только</t>
  </si>
  <si>
    <t>Статус</t>
  </si>
  <si>
    <t>Матрица</t>
  </si>
  <si>
    <t>ID</t>
  </si>
  <si>
    <t>Инфо</t>
  </si>
  <si>
    <t>Юнит</t>
  </si>
  <si>
    <t>Заказчик</t>
  </si>
  <si>
    <t>Название</t>
  </si>
  <si>
    <t>Формат</t>
  </si>
  <si>
    <t>Дата</t>
  </si>
  <si>
    <t>Продюсер</t>
  </si>
  <si>
    <t>Менеджер</t>
  </si>
  <si>
    <t>Куратор</t>
  </si>
  <si>
    <t>П</t>
  </si>
  <si>
    <t>Ф</t>
  </si>
  <si>
    <t>В%</t>
  </si>
  <si>
    <t xml:space="preserve">      Путь!</t>
  </si>
  <si>
    <t>Производство</t>
  </si>
  <si>
    <t>ссылка на матрицу</t>
  </si>
  <si>
    <t>ТВР2611234</t>
  </si>
  <si>
    <t xml:space="preserve">АЛТАЙ КОКС, ОРГАНИЗАЦИЯ ЮБИЛЕЙНОГО ГОДА, Телерадиотрансляция </t>
  </si>
  <si>
    <t>ТВ, Радио</t>
  </si>
  <si>
    <t>АЛТАЙ КОКС</t>
  </si>
  <si>
    <t>ОРГАНИЗАЦИЯ ЮБИЛЕЙНОГО ГОДА</t>
  </si>
  <si>
    <t xml:space="preserve">Телерадиотрансляция </t>
  </si>
  <si>
    <t>Сдан</t>
  </si>
  <si>
    <t>М2511518</t>
  </si>
  <si>
    <t>INTERCOMM, МИТАП НАЭКК, Гибрид</t>
  </si>
  <si>
    <t>Маркетинг</t>
  </si>
  <si>
    <t>INTERCOMM</t>
  </si>
  <si>
    <t>МИТАП НАЭКК</t>
  </si>
  <si>
    <t>Гибрид</t>
  </si>
  <si>
    <t>Р2611537</t>
  </si>
  <si>
    <t>РОСТИКС, Спецпроект для Чикен FM: битва репортеров, Event мероприятие</t>
  </si>
  <si>
    <t>Радио</t>
  </si>
  <si>
    <t>РОСТИКС</t>
  </si>
  <si>
    <t>Спецпроект для Чикен FM: битва репортеров</t>
  </si>
  <si>
    <t>Event мероприятие</t>
  </si>
  <si>
    <t>2512032</t>
  </si>
  <si>
    <t xml:space="preserve">HR КУХНЯ, промо-эфир "Гендерные праздники", Видеотрансляция </t>
  </si>
  <si>
    <t>HR кухня</t>
  </si>
  <si>
    <t>промо-эфир "Гендерные праздники"</t>
  </si>
  <si>
    <t xml:space="preserve">Видеотрансляция </t>
  </si>
  <si>
    <t>2512235</t>
  </si>
  <si>
    <t xml:space="preserve">КОННЕКТИКУМ, промо-эфир "Гендерные праздники", Видеотрансляция </t>
  </si>
  <si>
    <t>Коннектикум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</si>
</sst>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[$ ₽]"/>
    <numFmt numFmtId="165" formatCode="#,##0.00[$ ₽]"/>
    <numFmt numFmtId="166" formatCode="yyyy mm dd"/>
  </numFmts>
  <fonts count="11">
    <font>
      <sz val="10.0"/>
      <color rgb="FF000000"/>
      <name val="Arial"/>
      <scheme val="minor"/>
    </font>
    <font>
      <b/>
      <sz val="8.0"/>
      <color theme="1"/>
      <name val="Geologica"/>
    </font>
    <font/>
    <font>
      <b/>
      <u/>
      <sz val="9.0"/>
      <color theme="1"/>
      <name val="Geologica"/>
    </font>
    <font>
      <b/>
      <sz val="9.0"/>
      <color theme="1"/>
      <name val="Geologica"/>
    </font>
    <font>
      <b/>
      <sz val="9.0"/>
      <color rgb="FFB7B7B7"/>
      <name val="Geologica"/>
    </font>
    <font>
      <sz val="9.0"/>
      <color theme="1"/>
      <name val="Geologica"/>
    </font>
    <font>
      <b/>
      <sz val="9.0"/>
      <color rgb="FFFFFFFF"/>
      <name val="Geologica"/>
    </font>
    <font>
      <b/>
      <sz val="9.0"/>
      <color rgb="FF000000"/>
      <name val="Geologica"/>
    </font>
    <font>
      <sz val="8.0"/>
      <color theme="1"/>
      <name val="Geologica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E8EAED"/>
        <bgColor rgb="FFE8EAED"/>
      </patternFill>
    </fill>
    <fill>
      <patternFill patternType="solid">
        <fgColor rgb="FFFFFFFF"/>
        <bgColor rgb="FFFFFFFF"/>
      </patternFill>
    </fill>
    <fill>
      <patternFill patternType="solid">
        <fgColor theme="5"/>
        <bgColor theme="5"/>
      </patternFill>
    </fill>
    <fill>
      <patternFill patternType="solid">
        <fgColor rgb="FFEA4335"/>
        <bgColor rgb="FFEA4335"/>
      </patternFill>
    </fill>
    <fill>
      <patternFill patternType="solid">
        <fgColor rgb="FFFBBC04"/>
        <bgColor rgb="FFFBBC04"/>
      </patternFill>
    </fill>
  </fills>
  <borders count="5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readingOrder="0" shrinkToFit="0" vertical="center" wrapText="0"/>
    </xf>
    <xf borderId="4" fillId="2" fontId="4" numFmtId="0" xfId="0" applyAlignment="1" applyBorder="1" applyFont="1">
      <alignment horizontal="center" readingOrder="0" shrinkToFit="0" vertical="center" wrapText="0"/>
    </xf>
    <xf borderId="1" fillId="3" fontId="4" numFmtId="164" xfId="0" applyAlignment="1" applyBorder="1" applyFill="1" applyFont="1" applyNumberFormat="1">
      <alignment horizontal="center" readingOrder="0" shrinkToFit="0" vertical="center" wrapText="1"/>
    </xf>
    <xf borderId="1" fillId="3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4" fillId="4" fontId="7" numFmtId="0" xfId="0" applyAlignment="1" applyBorder="1" applyFill="1" applyFont="1">
      <alignment horizontal="center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4" fillId="3" fontId="6" numFmtId="164" xfId="0" applyAlignment="1" applyBorder="1" applyFont="1" applyNumberFormat="1">
      <alignment horizontal="center" readingOrder="0" shrinkToFit="0" vertical="center" wrapText="1"/>
    </xf>
    <xf borderId="4" fillId="5" fontId="7" numFmtId="164" xfId="0" applyAlignment="1" applyBorder="1" applyFill="1" applyFont="1" applyNumberFormat="1">
      <alignment horizontal="center" readingOrder="0" shrinkToFit="0" vertical="center" wrapText="1"/>
    </xf>
    <xf borderId="4" fillId="6" fontId="8" numFmtId="164" xfId="0" applyAlignment="1" applyBorder="1" applyFill="1" applyFont="1" applyNumberFormat="1">
      <alignment horizontal="center" readingOrder="0" shrinkToFit="0" vertical="center" wrapText="1"/>
    </xf>
    <xf borderId="4" fillId="0" fontId="9" numFmtId="0" xfId="0" applyAlignment="1" applyBorder="1" applyFont="1">
      <alignment horizontal="left" readingOrder="0" shrinkToFit="0" vertical="center" wrapText="1"/>
    </xf>
    <xf borderId="4" fillId="0" fontId="6" numFmtId="0" xfId="0" applyAlignment="1" applyBorder="1" applyFont="1">
      <alignment horizontal="left" readingOrder="0" shrinkToFit="0" vertical="center" wrapText="0"/>
    </xf>
    <xf borderId="4" fillId="4" fontId="7" numFmtId="49" xfId="0" applyAlignment="1" applyBorder="1" applyFont="1" applyNumberFormat="1">
      <alignment horizontal="left" shrinkToFit="0" vertical="center" wrapText="1"/>
    </xf>
    <xf borderId="4" fillId="0" fontId="6" numFmtId="165" xfId="0" applyAlignment="1" applyBorder="1" applyFont="1" applyNumberFormat="1">
      <alignment horizontal="left" shrinkToFit="0" vertical="center" wrapText="1"/>
    </xf>
    <xf borderId="4" fillId="0" fontId="6" numFmtId="164" xfId="0" applyAlignment="1" applyBorder="1" applyFont="1" applyNumberFormat="1">
      <alignment horizontal="left" shrinkToFit="0" vertical="center" wrapText="1"/>
    </xf>
    <xf borderId="4" fillId="0" fontId="6" numFmtId="0" xfId="0" applyAlignment="1" applyBorder="1" applyFont="1">
      <alignment horizontal="left" shrinkToFit="0" vertical="center" wrapText="1"/>
    </xf>
    <xf borderId="4" fillId="0" fontId="6" numFmtId="166" xfId="0" applyAlignment="1" applyBorder="1" applyFont="1" applyNumberFormat="1">
      <alignment horizontal="left" shrinkToFit="0" vertical="center" wrapText="1"/>
    </xf>
    <xf borderId="4" fillId="0" fontId="6" numFmtId="166" xfId="0" applyAlignment="1" applyBorder="1" applyFont="1" applyNumberFormat="1">
      <alignment horizontal="left" shrinkToFit="0" vertical="center" wrapText="1"/>
    </xf>
    <xf borderId="4" fillId="3" fontId="6" numFmtId="164" xfId="0" applyAlignment="1" applyBorder="1" applyFont="1" applyNumberFormat="1">
      <alignment horizontal="right" shrinkToFit="0" vertical="center" wrapText="1"/>
    </xf>
    <xf borderId="4" fillId="5" fontId="7" numFmtId="164" xfId="0" applyAlignment="1" applyBorder="1" applyFont="1" applyNumberFormat="1">
      <alignment horizontal="right" shrinkToFit="0" vertical="center" wrapText="1"/>
    </xf>
    <xf borderId="4" fillId="3" fontId="6" numFmtId="0" xfId="0" applyAlignment="1" applyBorder="1" applyFont="1">
      <alignment horizontal="right" vertical="center"/>
    </xf>
    <xf borderId="4" fillId="6" fontId="8" numFmtId="164" xfId="0" applyAlignment="1" applyBorder="1" applyFont="1" applyNumberFormat="1">
      <alignment horizontal="right" shrinkToFit="0" vertical="center" wrapText="1"/>
    </xf>
    <xf borderId="4" fillId="0" fontId="4" numFmtId="164" xfId="0" applyAlignment="1" applyBorder="1" applyFont="1" applyNumberFormat="1">
      <alignment horizontal="right" shrinkToFit="0" vertical="center" wrapText="1"/>
    </xf>
    <xf borderId="4" fillId="0" fontId="7" numFmtId="10" xfId="0" applyAlignment="1" applyBorder="1" applyFont="1" applyNumberFormat="1">
      <alignment horizontal="right" shrinkToFit="0" vertical="center" wrapText="1"/>
    </xf>
    <xf borderId="4" fillId="0" fontId="6" numFmtId="165" xfId="0" applyAlignment="1" applyBorder="1" applyFont="1" applyNumberFormat="1">
      <alignment horizontal="left" vertical="center"/>
    </xf>
    <xf borderId="0" fillId="0" fontId="10" numFmtId="0" xfId="0" applyAlignment="1" applyFont="1">
      <alignment readingOrder="0" vertical="center"/>
    </xf>
    <xf borderId="0" fillId="0" fontId="6" numFmtId="0" xfId="0" applyAlignment="1" applyFont="1">
      <alignment horizontal="left" readingOrder="0" shrinkToFit="0" vertical="center" wrapText="0"/>
    </xf>
    <xf borderId="4" fillId="0" fontId="6" numFmtId="0" xfId="0" applyAlignment="1" applyBorder="1" applyFont="1">
      <alignment horizontal="left" shrinkToFit="0" vertical="center" wrapText="0"/>
    </xf>
  </cellXfs>
  <cellStyles count="1">
    <cellStyle xfId="0" name="Normal" builtinId="0"/>
  </cellStyles>
  <dxfs count="3">
    <dxf>
      <font/>
      <fill>
        <patternFill patternType="solid">
          <fgColor rgb="FF4821AC"/>
          <bgColor rgb="FF4821AC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>
        <color rgb="FF000000"/>
      </font>
      <fill>
        <patternFill patternType="solid">
          <fgColor theme="6"/>
          <bgColor theme="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8_EVDSQOpy9wPK_R4cI7GLsU6mdyK8VfeiRqJClzeRI/edit?gid=222305055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3.88"/>
    <col customWidth="1" min="2" max="2" width="21.13"/>
    <col customWidth="1" min="3" max="3" width="13.0"/>
    <col customWidth="1" hidden="1" min="4" max="4" width="27.88"/>
    <col customWidth="1" min="5" max="5" width="10.38"/>
    <col customWidth="1" min="6" max="6" width="18.63"/>
    <col customWidth="1" min="7" max="7" width="23.63"/>
    <col customWidth="1" min="8" max="8" width="19.0"/>
    <col customWidth="1" min="9" max="9" width="11.5"/>
    <col customWidth="1" min="10" max="11" width="12.88"/>
    <col customWidth="1" min="13" max="17" width="12.25"/>
    <col customWidth="1" min="18" max="18" width="9.5"/>
    <col customWidth="1" min="19" max="19" width="101.63"/>
  </cols>
  <sheetData>
    <row r="1">
      <c r="A1" s="1" t="s">
        <v>0</v>
      </c>
      <c r="B1" s="2"/>
      <c r="C1" s="3"/>
      <c r="D1" s="4" t="s">
        <v>1</v>
      </c>
      <c r="E1" s="2"/>
      <c r="F1" s="2"/>
      <c r="G1" s="2"/>
      <c r="H1" s="2"/>
      <c r="I1" s="2"/>
      <c r="J1" s="2"/>
      <c r="K1" s="3"/>
      <c r="L1" s="5"/>
      <c r="M1" s="6" t="s">
        <v>2</v>
      </c>
      <c r="N1" s="3"/>
      <c r="O1" s="7" t="s">
        <v>3</v>
      </c>
      <c r="P1" s="3"/>
      <c r="Q1" s="8" t="s">
        <v>4</v>
      </c>
      <c r="R1" s="3"/>
      <c r="S1" s="9" t="s">
        <v>5</v>
      </c>
    </row>
    <row r="2">
      <c r="A2" s="10" t="s">
        <v>6</v>
      </c>
      <c r="B2" s="11" t="s">
        <v>7</v>
      </c>
      <c r="C2" s="12" t="s">
        <v>8</v>
      </c>
      <c r="D2" s="13" t="s">
        <v>9</v>
      </c>
      <c r="E2" s="13" t="s">
        <v>10</v>
      </c>
      <c r="F2" s="14" t="s">
        <v>11</v>
      </c>
      <c r="G2" s="14" t="s">
        <v>12</v>
      </c>
      <c r="H2" s="14" t="s">
        <v>13</v>
      </c>
      <c r="I2" s="13" t="s">
        <v>14</v>
      </c>
      <c r="J2" s="13" t="s">
        <v>15</v>
      </c>
      <c r="K2" s="13" t="s">
        <v>16</v>
      </c>
      <c r="L2" s="13" t="s">
        <v>17</v>
      </c>
      <c r="M2" s="15" t="s">
        <v>18</v>
      </c>
      <c r="N2" s="16" t="s">
        <v>19</v>
      </c>
      <c r="O2" s="15" t="s">
        <v>18</v>
      </c>
      <c r="P2" s="17" t="s">
        <v>19</v>
      </c>
      <c r="Q2" s="13" t="s">
        <v>19</v>
      </c>
      <c r="R2" s="13" t="s">
        <v>20</v>
      </c>
      <c r="S2" s="13" t="s">
        <v>21</v>
      </c>
    </row>
    <row r="3">
      <c r="A3" s="18" t="s">
        <v>22</v>
      </c>
      <c r="B3" s="19" t="s">
        <v>23</v>
      </c>
      <c r="C3" s="20" t="s">
        <v>24</v>
      </c>
      <c r="D3" s="21" t="s">
        <v>25</v>
      </c>
      <c r="E3" s="22" t="s">
        <v>26</v>
      </c>
      <c r="F3" s="23" t="s">
        <v>27</v>
      </c>
      <c r="G3" s="23" t="s">
        <v>28</v>
      </c>
      <c r="H3" s="23" t="s">
        <v>29</v>
      </c>
      <c r="I3" s="24">
        <v>46034.0</v>
      </c>
      <c r="J3" s="25"/>
      <c r="K3" s="25"/>
      <c r="L3" s="21"/>
      <c r="M3" s="26"/>
      <c r="N3" s="27"/>
      <c r="O3" s="28"/>
      <c r="P3" s="29"/>
      <c r="Q3" s="30"/>
      <c r="R3" s="31"/>
      <c r="S3" s="32"/>
    </row>
    <row r="4">
      <c r="A4" s="18" t="s">
        <v>30</v>
      </c>
      <c r="B4" s="19" t="s">
        <v>23</v>
      </c>
      <c r="C4" s="20" t="s">
        <v>31</v>
      </c>
      <c r="D4" s="21" t="s">
        <v>32</v>
      </c>
      <c r="E4" s="22" t="s">
        <v>33</v>
      </c>
      <c r="F4" s="23" t="s">
        <v>34</v>
      </c>
      <c r="G4" s="23" t="s">
        <v>35</v>
      </c>
      <c r="H4" s="23" t="s">
        <v>36</v>
      </c>
      <c r="I4" s="24">
        <v>46037.0</v>
      </c>
      <c r="J4" s="25"/>
      <c r="K4" s="25"/>
      <c r="L4" s="21"/>
      <c r="M4" s="26"/>
      <c r="N4" s="27"/>
      <c r="O4" s="28"/>
      <c r="P4" s="29"/>
      <c r="Q4" s="30"/>
      <c r="R4" s="31"/>
      <c r="S4" s="32"/>
    </row>
    <row r="5">
      <c r="A5" s="18"/>
      <c r="B5" s="19" t="s">
        <v>23</v>
      </c>
      <c r="C5" s="20" t="s">
        <v>37</v>
      </c>
      <c r="D5" s="21" t="s">
        <v>38</v>
      </c>
      <c r="E5" s="22" t="s">
        <v>39</v>
      </c>
      <c r="F5" s="23" t="s">
        <v>40</v>
      </c>
      <c r="G5" s="23" t="s">
        <v>41</v>
      </c>
      <c r="H5" s="23" t="s">
        <v>42</v>
      </c>
      <c r="I5" s="24">
        <v>46037.0</v>
      </c>
      <c r="J5" s="25"/>
      <c r="K5" s="25"/>
      <c r="L5" s="21"/>
      <c r="M5" s="26"/>
      <c r="N5" s="27"/>
      <c r="O5" s="28"/>
      <c r="P5" s="29"/>
      <c r="Q5" s="30"/>
      <c r="R5" s="31"/>
      <c r="S5" s="32"/>
    </row>
    <row r="6">
      <c r="A6" s="18" t="s">
        <v>30</v>
      </c>
      <c r="B6" s="19" t="s">
        <v>23</v>
      </c>
      <c r="C6" s="20" t="s">
        <v>43</v>
      </c>
      <c r="D6" s="21" t="s">
        <v>44</v>
      </c>
      <c r="E6" s="22" t="s">
        <v>33</v>
      </c>
      <c r="F6" s="23" t="s">
        <v>45</v>
      </c>
      <c r="G6" s="23" t="s">
        <v>46</v>
      </c>
      <c r="H6" s="23" t="s">
        <v>47</v>
      </c>
      <c r="I6" s="24">
        <v>46042.0</v>
      </c>
      <c r="J6" s="25"/>
      <c r="K6" s="25"/>
      <c r="L6" s="21"/>
      <c r="M6" s="26"/>
      <c r="N6" s="27"/>
      <c r="O6" s="28"/>
      <c r="P6" s="29"/>
      <c r="Q6" s="30"/>
      <c r="R6" s="31"/>
      <c r="S6" s="32"/>
    </row>
    <row r="7">
      <c r="A7" s="18" t="s">
        <v>30</v>
      </c>
      <c r="B7" s="19" t="s">
        <v>23</v>
      </c>
      <c r="C7" s="20" t="s">
        <v>48</v>
      </c>
      <c r="D7" s="21" t="s">
        <v>49</v>
      </c>
      <c r="E7" s="22" t="s">
        <v>33</v>
      </c>
      <c r="F7" s="23" t="s">
        <v>50</v>
      </c>
      <c r="G7" s="23" t="s">
        <v>46</v>
      </c>
      <c r="H7" s="23" t="s">
        <v>47</v>
      </c>
      <c r="I7" s="24">
        <v>46044.0</v>
      </c>
      <c r="J7" s="25"/>
      <c r="K7" s="25"/>
      <c r="L7" s="21"/>
      <c r="M7" s="26"/>
      <c r="N7" s="27"/>
      <c r="O7" s="28"/>
      <c r="P7" s="29"/>
      <c r="Q7" s="30"/>
      <c r="R7" s="31"/>
      <c r="S7" s="32"/>
    </row>
    <row r="8">
      <c r="A8" s="18"/>
      <c r="B8" s="33"/>
      <c r="C8" s="20"/>
      <c r="D8" s="21"/>
      <c r="E8" s="22"/>
      <c r="F8" s="23"/>
      <c r="G8" s="23"/>
      <c r="H8" s="23"/>
      <c r="I8" s="24"/>
      <c r="J8" s="25"/>
      <c r="K8" s="25"/>
      <c r="L8" s="21"/>
      <c r="M8" s="26"/>
      <c r="N8" s="27"/>
      <c r="O8" s="28"/>
      <c r="P8" s="29"/>
      <c r="Q8" s="30"/>
      <c r="R8" s="31"/>
      <c r="S8" s="32"/>
    </row>
    <row r="9">
      <c r="A9" s="18"/>
      <c r="B9" s="33"/>
      <c r="C9" s="20"/>
      <c r="D9" s="21"/>
      <c r="E9" s="22"/>
      <c r="F9" s="23"/>
      <c r="G9" s="23"/>
      <c r="H9" s="23"/>
      <c r="I9" s="24"/>
      <c r="J9" s="25"/>
      <c r="K9" s="25"/>
      <c r="L9" s="21"/>
      <c r="M9" s="26"/>
      <c r="N9" s="27"/>
      <c r="O9" s="28"/>
      <c r="P9" s="29"/>
      <c r="Q9" s="30"/>
      <c r="R9" s="31"/>
      <c r="S9" s="32"/>
    </row>
    <row r="10">
      <c r="A10" s="18"/>
      <c r="B10" s="33"/>
      <c r="C10" s="20"/>
      <c r="D10" s="21"/>
      <c r="E10" s="22"/>
      <c r="F10" s="23"/>
      <c r="G10" s="23"/>
      <c r="H10" s="23"/>
      <c r="I10" s="24"/>
      <c r="J10" s="25"/>
      <c r="K10" s="25"/>
      <c r="L10" s="21"/>
      <c r="M10" s="26"/>
      <c r="N10" s="27"/>
      <c r="O10" s="28"/>
      <c r="P10" s="29"/>
      <c r="Q10" s="30"/>
      <c r="R10" s="31"/>
      <c r="S10" s="32"/>
    </row>
    <row r="11">
      <c r="A11" s="18"/>
      <c r="B11" s="33"/>
      <c r="C11" s="20"/>
      <c r="D11" s="21"/>
      <c r="E11" s="22"/>
      <c r="F11" s="23"/>
      <c r="G11" s="23"/>
      <c r="H11" s="23"/>
      <c r="I11" s="24"/>
      <c r="J11" s="25"/>
      <c r="K11" s="25"/>
      <c r="L11" s="21"/>
      <c r="M11" s="26"/>
      <c r="N11" s="27"/>
      <c r="O11" s="28"/>
      <c r="P11" s="29"/>
      <c r="Q11" s="30"/>
      <c r="R11" s="31"/>
      <c r="S11" s="32"/>
    </row>
    <row r="12">
      <c r="A12" s="18"/>
      <c r="B12" s="33"/>
      <c r="C12" s="20"/>
      <c r="D12" s="21"/>
      <c r="E12" s="22"/>
      <c r="F12" s="23"/>
      <c r="G12" s="23"/>
      <c r="H12" s="23"/>
      <c r="I12" s="24"/>
      <c r="J12" s="25"/>
      <c r="K12" s="25"/>
      <c r="L12" s="21"/>
      <c r="M12" s="26"/>
      <c r="N12" s="27"/>
      <c r="O12" s="28"/>
      <c r="P12" s="29"/>
      <c r="Q12" s="30"/>
      <c r="R12" s="31"/>
      <c r="S12" s="32"/>
    </row>
    <row r="13">
      <c r="A13" s="18"/>
      <c r="B13" s="33"/>
      <c r="C13" s="20"/>
      <c r="D13" s="21"/>
      <c r="E13" s="22"/>
      <c r="F13" s="23"/>
      <c r="G13" s="23"/>
      <c r="H13" s="23"/>
      <c r="I13" s="24"/>
      <c r="J13" s="25"/>
      <c r="K13" s="25"/>
      <c r="L13" s="21"/>
      <c r="M13" s="26"/>
      <c r="N13" s="27"/>
      <c r="O13" s="28"/>
      <c r="P13" s="29"/>
      <c r="Q13" s="30"/>
      <c r="R13" s="31"/>
      <c r="S13" s="32"/>
    </row>
    <row r="14">
      <c r="A14" s="18"/>
      <c r="B14" s="33"/>
      <c r="C14" s="20"/>
      <c r="D14" s="21"/>
      <c r="E14" s="22"/>
      <c r="F14" s="23"/>
      <c r="G14" s="23"/>
      <c r="H14" s="23"/>
      <c r="I14" s="24"/>
      <c r="J14" s="25"/>
      <c r="K14" s="25"/>
      <c r="L14" s="21"/>
      <c r="M14" s="26"/>
      <c r="N14" s="27"/>
      <c r="O14" s="28"/>
      <c r="P14" s="29"/>
      <c r="Q14" s="30"/>
      <c r="R14" s="31"/>
      <c r="S14" s="32"/>
    </row>
    <row r="15">
      <c r="A15" s="18"/>
      <c r="B15" s="33"/>
      <c r="C15" s="20"/>
      <c r="D15" s="21"/>
      <c r="E15" s="22"/>
      <c r="F15" s="23"/>
      <c r="G15" s="23"/>
      <c r="H15" s="23"/>
      <c r="I15" s="24"/>
      <c r="J15" s="25"/>
      <c r="K15" s="25"/>
      <c r="L15" s="21"/>
      <c r="M15" s="26"/>
      <c r="N15" s="27"/>
      <c r="O15" s="28"/>
      <c r="P15" s="29"/>
      <c r="Q15" s="30"/>
      <c r="R15" s="31"/>
      <c r="S15" s="32"/>
    </row>
    <row r="16">
      <c r="A16" s="18"/>
      <c r="B16" s="34"/>
      <c r="C16" s="20"/>
      <c r="D16" s="21"/>
      <c r="E16" s="22"/>
      <c r="F16" s="23"/>
      <c r="G16" s="23"/>
      <c r="H16" s="23"/>
      <c r="I16" s="24"/>
      <c r="J16" s="25"/>
      <c r="K16" s="25"/>
      <c r="L16" s="21"/>
      <c r="M16" s="26"/>
      <c r="N16" s="27"/>
      <c r="O16" s="28"/>
      <c r="P16" s="29"/>
      <c r="Q16" s="30"/>
      <c r="R16" s="31"/>
      <c r="S16" s="32"/>
    </row>
    <row r="17">
      <c r="A17" s="18"/>
      <c r="B17" s="34"/>
      <c r="C17" s="20"/>
      <c r="D17" s="21"/>
      <c r="E17" s="22"/>
      <c r="F17" s="23"/>
      <c r="G17" s="23"/>
      <c r="H17" s="23"/>
      <c r="I17" s="24"/>
      <c r="J17" s="25"/>
      <c r="K17" s="25"/>
      <c r="L17" s="21"/>
      <c r="M17" s="26"/>
      <c r="N17" s="27"/>
      <c r="O17" s="28"/>
      <c r="P17" s="29"/>
      <c r="Q17" s="30"/>
      <c r="R17" s="31"/>
      <c r="S17" s="32"/>
    </row>
    <row r="18">
      <c r="A18" s="18"/>
      <c r="B18" s="34"/>
      <c r="C18" s="20"/>
      <c r="D18" s="21"/>
      <c r="E18" s="22"/>
      <c r="F18" s="23"/>
      <c r="G18" s="23"/>
      <c r="H18" s="23"/>
      <c r="I18" s="24"/>
      <c r="J18" s="25"/>
      <c r="K18" s="25"/>
      <c r="L18" s="21"/>
      <c r="M18" s="26"/>
      <c r="N18" s="27"/>
      <c r="O18" s="28"/>
      <c r="P18" s="29"/>
      <c r="Q18" s="30"/>
      <c r="R18" s="31"/>
      <c r="S18" s="32"/>
    </row>
    <row r="19">
      <c r="A19" s="18"/>
      <c r="B19" s="35"/>
      <c r="C19" s="20"/>
      <c r="D19" s="21"/>
      <c r="E19" s="22"/>
      <c r="F19" s="23"/>
      <c r="G19" s="23"/>
      <c r="H19" s="23"/>
      <c r="I19" s="24"/>
      <c r="J19" s="25"/>
      <c r="K19" s="25"/>
      <c r="L19" s="21"/>
      <c r="M19" s="26"/>
      <c r="N19" s="27"/>
      <c r="O19" s="28"/>
      <c r="P19" s="29"/>
      <c r="Q19" s="30"/>
      <c r="R19" s="31"/>
      <c r="S19" s="32"/>
    </row>
    <row r="20">
      <c r="A20" s="18"/>
      <c r="B20" s="35"/>
      <c r="C20" s="20"/>
      <c r="D20" s="21"/>
      <c r="E20" s="22"/>
      <c r="F20" s="23"/>
      <c r="G20" s="23"/>
      <c r="H20" s="23"/>
      <c r="I20" s="24"/>
      <c r="J20" s="25"/>
      <c r="K20" s="25"/>
      <c r="L20" s="21"/>
      <c r="M20" s="26"/>
      <c r="N20" s="27"/>
      <c r="O20" s="28"/>
      <c r="P20" s="29"/>
      <c r="Q20" s="30"/>
      <c r="R20" s="31"/>
      <c r="S20" s="32"/>
    </row>
    <row r="21">
      <c r="A21" s="18"/>
      <c r="B21" s="35"/>
      <c r="C21" s="20"/>
      <c r="D21" s="21"/>
      <c r="E21" s="22"/>
      <c r="F21" s="23"/>
      <c r="G21" s="23"/>
      <c r="H21" s="23"/>
      <c r="I21" s="24"/>
      <c r="J21" s="25"/>
      <c r="K21" s="25"/>
      <c r="L21" s="21"/>
      <c r="M21" s="26"/>
      <c r="N21" s="27"/>
      <c r="O21" s="28"/>
      <c r="P21" s="29"/>
      <c r="Q21" s="30"/>
      <c r="R21" s="31"/>
      <c r="S21" s="32"/>
    </row>
    <row r="22">
      <c r="A22" s="18"/>
      <c r="B22" s="35"/>
      <c r="C22" s="20"/>
      <c r="D22" s="21"/>
      <c r="E22" s="22"/>
      <c r="F22" s="23"/>
      <c r="G22" s="23"/>
      <c r="H22" s="23"/>
      <c r="I22" s="24"/>
      <c r="J22" s="25"/>
      <c r="K22" s="25"/>
      <c r="L22" s="21"/>
      <c r="M22" s="26"/>
      <c r="N22" s="27"/>
      <c r="O22" s="28"/>
      <c r="P22" s="29"/>
      <c r="Q22" s="30"/>
      <c r="R22" s="31"/>
      <c r="S22" s="32"/>
    </row>
    <row r="23">
      <c r="A23" s="18"/>
      <c r="B23" s="35"/>
      <c r="C23" s="20"/>
      <c r="D23" s="21"/>
      <c r="E23" s="22"/>
      <c r="F23" s="23"/>
      <c r="G23" s="23"/>
      <c r="H23" s="23"/>
      <c r="I23" s="24"/>
      <c r="J23" s="25"/>
      <c r="K23" s="25"/>
      <c r="L23" s="21"/>
      <c r="M23" s="26"/>
      <c r="N23" s="27"/>
      <c r="O23" s="28"/>
      <c r="P23" s="29"/>
      <c r="Q23" s="30"/>
      <c r="R23" s="31"/>
      <c r="S23" s="32"/>
    </row>
    <row r="24">
      <c r="A24" s="18"/>
      <c r="B24" s="35"/>
      <c r="C24" s="20"/>
      <c r="D24" s="21"/>
      <c r="E24" s="22"/>
      <c r="F24" s="23"/>
      <c r="G24" s="23"/>
      <c r="H24" s="23"/>
      <c r="I24" s="24"/>
      <c r="J24" s="25"/>
      <c r="K24" s="25"/>
      <c r="L24" s="21"/>
      <c r="M24" s="26"/>
      <c r="N24" s="27"/>
      <c r="O24" s="28"/>
      <c r="P24" s="29"/>
      <c r="Q24" s="30"/>
      <c r="R24" s="31"/>
      <c r="S24" s="32"/>
    </row>
    <row r="25">
      <c r="A25" s="18"/>
      <c r="B25" s="35"/>
      <c r="C25" s="20"/>
      <c r="D25" s="21"/>
      <c r="E25" s="22"/>
      <c r="F25" s="23"/>
      <c r="G25" s="23"/>
      <c r="H25" s="23"/>
      <c r="I25" s="24"/>
      <c r="J25" s="25"/>
      <c r="K25" s="25"/>
      <c r="L25" s="21"/>
      <c r="M25" s="26"/>
      <c r="N25" s="27"/>
      <c r="O25" s="28"/>
      <c r="P25" s="29"/>
      <c r="Q25" s="30"/>
      <c r="R25" s="31"/>
      <c r="S25" s="32"/>
    </row>
    <row r="26">
      <c r="A26" s="18"/>
      <c r="B26" s="35"/>
      <c r="C26" s="20"/>
      <c r="D26" s="21"/>
      <c r="E26" s="22"/>
      <c r="F26" s="23"/>
      <c r="G26" s="23"/>
      <c r="H26" s="23"/>
      <c r="I26" s="24"/>
      <c r="J26" s="25"/>
      <c r="K26" s="25"/>
      <c r="L26" s="21"/>
      <c r="M26" s="26"/>
      <c r="N26" s="27"/>
      <c r="O26" s="28"/>
      <c r="P26" s="29"/>
      <c r="Q26" s="30"/>
      <c r="R26" s="31"/>
      <c r="S26" s="32"/>
    </row>
    <row r="27">
      <c r="A27" s="18"/>
      <c r="B27" s="35"/>
      <c r="C27" s="20"/>
      <c r="D27" s="21"/>
      <c r="E27" s="22"/>
      <c r="F27" s="23"/>
      <c r="G27" s="23"/>
      <c r="H27" s="23"/>
      <c r="I27" s="24"/>
      <c r="J27" s="25"/>
      <c r="K27" s="25"/>
      <c r="L27" s="21"/>
      <c r="M27" s="26"/>
      <c r="N27" s="27"/>
      <c r="O27" s="28"/>
      <c r="P27" s="29"/>
      <c r="Q27" s="30"/>
      <c r="R27" s="31"/>
      <c r="S27" s="32"/>
    </row>
    <row r="28">
      <c r="A28" s="18"/>
      <c r="B28" s="19"/>
      <c r="C28" s="20"/>
      <c r="D28" s="21"/>
      <c r="E28" s="22"/>
      <c r="F28" s="23"/>
      <c r="G28" s="23"/>
      <c r="H28" s="23"/>
      <c r="I28" s="24"/>
      <c r="J28" s="25"/>
      <c r="K28" s="25"/>
      <c r="L28" s="21"/>
      <c r="M28" s="26"/>
      <c r="N28" s="27"/>
      <c r="O28" s="28"/>
      <c r="P28" s="29"/>
      <c r="Q28" s="30"/>
      <c r="R28" s="31"/>
      <c r="S28" s="32"/>
    </row>
    <row r="29">
      <c r="A29" s="18"/>
      <c r="B29" s="35"/>
      <c r="C29" s="20"/>
      <c r="D29" s="21"/>
      <c r="E29" s="22"/>
      <c r="F29" s="23"/>
      <c r="G29" s="23"/>
      <c r="H29" s="23"/>
      <c r="I29" s="24"/>
      <c r="J29" s="25"/>
      <c r="K29" s="25"/>
      <c r="L29" s="21"/>
      <c r="M29" s="26"/>
      <c r="N29" s="27"/>
      <c r="O29" s="28"/>
      <c r="P29" s="29"/>
      <c r="Q29" s="30"/>
      <c r="R29" s="31"/>
      <c r="S29" s="32"/>
    </row>
    <row r="30">
      <c r="A30" s="18"/>
      <c r="B30" s="35"/>
      <c r="C30" s="20"/>
      <c r="D30" s="21"/>
      <c r="E30" s="22"/>
      <c r="F30" s="23"/>
      <c r="G30" s="23"/>
      <c r="H30" s="23"/>
      <c r="I30" s="24"/>
      <c r="J30" s="25"/>
      <c r="K30" s="25"/>
      <c r="L30" s="21"/>
      <c r="M30" s="26"/>
      <c r="N30" s="27"/>
      <c r="O30" s="28"/>
      <c r="P30" s="29"/>
      <c r="Q30" s="30"/>
      <c r="R30" s="31"/>
      <c r="S30" s="32"/>
    </row>
    <row r="31">
      <c r="A31" s="18"/>
      <c r="B31" s="35"/>
      <c r="C31" s="20"/>
      <c r="D31" s="21"/>
      <c r="E31" s="22"/>
      <c r="F31" s="23"/>
      <c r="G31" s="23"/>
      <c r="H31" s="23"/>
      <c r="I31" s="24"/>
      <c r="J31" s="25"/>
      <c r="K31" s="25"/>
      <c r="L31" s="21"/>
      <c r="M31" s="26"/>
      <c r="N31" s="27"/>
      <c r="O31" s="28"/>
      <c r="P31" s="29"/>
      <c r="Q31" s="30"/>
      <c r="R31" s="31"/>
      <c r="S31" s="32"/>
    </row>
    <row r="32">
      <c r="A32" s="18"/>
      <c r="B32" s="35"/>
      <c r="C32" s="20"/>
      <c r="D32" s="21"/>
      <c r="E32" s="22"/>
      <c r="F32" s="23"/>
      <c r="G32" s="23"/>
      <c r="H32" s="23"/>
      <c r="I32" s="24"/>
      <c r="J32" s="25"/>
      <c r="K32" s="25"/>
      <c r="L32" s="21"/>
      <c r="M32" s="26"/>
      <c r="N32" s="27"/>
      <c r="O32" s="28"/>
      <c r="P32" s="29"/>
      <c r="Q32" s="30"/>
      <c r="R32" s="31"/>
      <c r="S32" s="32"/>
    </row>
    <row r="33">
      <c r="A33" s="18"/>
      <c r="B33" s="19"/>
      <c r="C33" s="20"/>
      <c r="D33" s="21"/>
      <c r="E33" s="22"/>
      <c r="F33" s="23"/>
      <c r="G33" s="23"/>
      <c r="H33" s="23"/>
      <c r="I33" s="24"/>
      <c r="J33" s="25"/>
      <c r="K33" s="25"/>
      <c r="L33" s="21"/>
      <c r="M33" s="26"/>
      <c r="N33" s="27"/>
      <c r="O33" s="28"/>
      <c r="P33" s="29"/>
      <c r="Q33" s="30"/>
      <c r="R33" s="31"/>
      <c r="S33" s="32"/>
    </row>
    <row r="34">
      <c r="A34" s="18"/>
      <c r="B34" s="35"/>
      <c r="C34" s="20"/>
      <c r="D34" s="21"/>
      <c r="E34" s="22"/>
      <c r="F34" s="23"/>
      <c r="G34" s="23"/>
      <c r="H34" s="23"/>
      <c r="I34" s="24"/>
      <c r="J34" s="25"/>
      <c r="K34" s="25"/>
      <c r="L34" s="21"/>
      <c r="M34" s="26"/>
      <c r="N34" s="27"/>
      <c r="O34" s="28"/>
      <c r="P34" s="29"/>
      <c r="Q34" s="30"/>
      <c r="R34" s="31"/>
      <c r="S34" s="32"/>
    </row>
    <row r="35">
      <c r="A35" s="18"/>
      <c r="B35" s="19"/>
      <c r="C35" s="20"/>
      <c r="D35" s="21"/>
      <c r="E35" s="22"/>
      <c r="F35" s="23"/>
      <c r="G35" s="23"/>
      <c r="H35" s="23"/>
      <c r="I35" s="24"/>
      <c r="J35" s="25"/>
      <c r="K35" s="25"/>
      <c r="L35" s="21"/>
      <c r="M35" s="26"/>
      <c r="N35" s="27"/>
      <c r="O35" s="28"/>
      <c r="P35" s="29"/>
      <c r="Q35" s="30"/>
      <c r="R35" s="31"/>
      <c r="S35" s="32"/>
    </row>
    <row r="36">
      <c r="A36" s="18"/>
      <c r="B36" s="19"/>
      <c r="C36" s="20"/>
      <c r="D36" s="21"/>
      <c r="E36" s="22"/>
      <c r="F36" s="23"/>
      <c r="G36" s="23"/>
      <c r="H36" s="23"/>
      <c r="I36" s="24"/>
      <c r="J36" s="25"/>
      <c r="K36" s="25"/>
      <c r="L36" s="21"/>
      <c r="M36" s="26"/>
      <c r="N36" s="27"/>
      <c r="O36" s="28"/>
      <c r="P36" s="29"/>
      <c r="Q36" s="30"/>
      <c r="R36" s="31"/>
      <c r="S36" s="32"/>
    </row>
    <row r="37">
      <c r="A37" s="18"/>
      <c r="B37" s="35"/>
      <c r="C37" s="20"/>
      <c r="D37" s="21"/>
      <c r="E37" s="22"/>
      <c r="F37" s="23"/>
      <c r="G37" s="23"/>
      <c r="H37" s="23"/>
      <c r="I37" s="24"/>
      <c r="J37" s="25"/>
      <c r="K37" s="25"/>
      <c r="L37" s="21"/>
      <c r="M37" s="26"/>
      <c r="N37" s="27"/>
      <c r="O37" s="28"/>
      <c r="P37" s="29"/>
      <c r="Q37" s="30"/>
      <c r="R37" s="31"/>
      <c r="S37" s="32"/>
    </row>
    <row r="38">
      <c r="A38" s="18"/>
      <c r="B38" s="35"/>
      <c r="C38" s="20"/>
      <c r="D38" s="21"/>
      <c r="E38" s="22"/>
      <c r="F38" s="23"/>
      <c r="G38" s="23"/>
      <c r="H38" s="23"/>
      <c r="I38" s="24"/>
      <c r="J38" s="25"/>
      <c r="K38" s="25"/>
      <c r="L38" s="21"/>
      <c r="M38" s="26"/>
      <c r="N38" s="27"/>
      <c r="O38" s="28"/>
      <c r="P38" s="29"/>
      <c r="Q38" s="30"/>
      <c r="R38" s="31"/>
      <c r="S38" s="32"/>
    </row>
    <row r="39">
      <c r="A39" s="18"/>
      <c r="B39" s="35"/>
      <c r="C39" s="20"/>
      <c r="D39" s="21"/>
      <c r="E39" s="22"/>
      <c r="F39" s="23"/>
      <c r="G39" s="23"/>
      <c r="H39" s="23"/>
      <c r="I39" s="24"/>
      <c r="J39" s="25"/>
      <c r="K39" s="25"/>
      <c r="L39" s="21"/>
      <c r="M39" s="26"/>
      <c r="N39" s="27"/>
      <c r="O39" s="28"/>
      <c r="P39" s="29"/>
      <c r="Q39" s="30"/>
      <c r="R39" s="31"/>
      <c r="S39" s="32"/>
    </row>
    <row r="40">
      <c r="A40" s="18"/>
      <c r="B40" s="35"/>
      <c r="C40" s="20"/>
      <c r="D40" s="21"/>
      <c r="E40" s="22"/>
      <c r="F40" s="23"/>
      <c r="G40" s="23"/>
      <c r="H40" s="23"/>
      <c r="I40" s="24"/>
      <c r="J40" s="25"/>
      <c r="K40" s="25"/>
      <c r="L40" s="21"/>
      <c r="M40" s="26"/>
      <c r="N40" s="27"/>
      <c r="O40" s="28"/>
      <c r="P40" s="29"/>
      <c r="Q40" s="30"/>
      <c r="R40" s="31"/>
      <c r="S40" s="32"/>
    </row>
    <row r="41">
      <c r="A41" s="18"/>
      <c r="B41" s="35"/>
      <c r="C41" s="20"/>
      <c r="D41" s="21"/>
      <c r="E41" s="22"/>
      <c r="F41" s="23"/>
      <c r="G41" s="23"/>
      <c r="H41" s="23"/>
      <c r="I41" s="24"/>
      <c r="J41" s="25"/>
      <c r="K41" s="25"/>
      <c r="L41" s="21"/>
      <c r="M41" s="26"/>
      <c r="N41" s="27"/>
      <c r="O41" s="28"/>
      <c r="P41" s="29"/>
      <c r="Q41" s="30"/>
      <c r="R41" s="31"/>
      <c r="S41" s="32"/>
    </row>
    <row r="42">
      <c r="A42" s="18"/>
      <c r="B42" s="35"/>
      <c r="C42" s="20" t="str">
        <f>IFERROR(__xludf.DUMMYFUNCTION("IF(B42="""","" "",IMPORTRANGE(B42,""'Export'!m1""))")," ")</f>
        <v> </v>
      </c>
      <c r="D42" s="21" t="str">
        <f t="shared" ref="D42:D299" si="1">UPPER(F42)&amp;", "&amp;G42&amp;", "&amp;H42</f>
        <v> ,  ,  </v>
      </c>
      <c r="E42" s="22" t="str">
        <f>IFERROR(__xludf.DUMMYFUNCTION("IF(B42="""","" "",IMPORTRANGE(B42,""'EXPORT'!L1""))")," ")</f>
        <v> </v>
      </c>
      <c r="F42" s="23" t="str">
        <f>IFERROR(__xludf.DUMMYFUNCTION("IF(B42="""","" "",IMPORTRANGE(B42,""'Export'!a1""))")," ")</f>
        <v> </v>
      </c>
      <c r="G42" s="23" t="str">
        <f>IFERROR(__xludf.DUMMYFUNCTION("IF(B42="""","" "",IMPORTRANGE(B42,""'export'!b1""))")," ")</f>
        <v> </v>
      </c>
      <c r="H42" s="23" t="str">
        <f>IFERROR(__xludf.DUMMYFUNCTION("IF(B42="""","" "",IMPORTRANGE(B42,""'export'!c1""))")," ")</f>
        <v> </v>
      </c>
      <c r="I42" s="24" t="str">
        <f>IFERROR(__xludf.DUMMYFUNCTION("IF(B42="""","" "",IMPORTRANGE(B42,""'export'!d1""))")," ")</f>
        <v> </v>
      </c>
      <c r="J42" s="25" t="str">
        <f>IFERROR(__xludf.DUMMYFUNCTION("IF(B42="""","" "",IMPORTRANGE(B42,""'export'!e1""))")," ")</f>
        <v> </v>
      </c>
      <c r="K42" s="25"/>
      <c r="L42" s="21" t="str">
        <f>IFERROR(__xludf.DUMMYFUNCTION("IF(B42="""","" "",IMPORTRANGE(B42,""'export'!f1""))")," ")</f>
        <v> </v>
      </c>
      <c r="M42" s="26" t="str">
        <f>IFERROR(__xludf.DUMMYFUNCTION("IF(B42="""","" "",IMPORTRANGE(B42,""'export'!h3""))")," ")</f>
        <v> </v>
      </c>
      <c r="N42" s="27" t="str">
        <f>IFERROR(__xludf.DUMMYFUNCTION("IF(B42="""","" "",IMPORTRANGE(B42,""'export'!h1""))")," ")</f>
        <v> </v>
      </c>
      <c r="O42" s="28" t="str">
        <f>IFERROR(__xludf.DUMMYFUNCTION("IF(B42="""","" "",IMPORTRANGE(B42,""'export'!h11""))")," ")</f>
        <v> </v>
      </c>
      <c r="P42" s="29" t="str">
        <f>IFERROR(__xludf.DUMMYFUNCTION("IF(B42="""","" "",IMPORTRANGE(B42,""'export'!i1""))")," ")</f>
        <v> </v>
      </c>
      <c r="Q42" s="30" t="str">
        <f>IFERROR(__xludf.DUMMYFUNCTION("IF(B42="""","" "",IMPORTRANGE(B42,""'export'!i13""))")," ")</f>
        <v> </v>
      </c>
      <c r="R42" s="31" t="str">
        <f t="shared" ref="R42:R299" si="2">IF(N42&lt;&gt;" ",1-(P42/(N42/100))/100,"")</f>
        <v/>
      </c>
      <c r="S42" s="32" t="str">
        <f>IFERROR(__xludf.DUMMYFUNCTION("IF(B42="""","" "",IMPORTRANGE(B42,""'export'!g1""))")," ")</f>
        <v> </v>
      </c>
    </row>
    <row r="43">
      <c r="A43" s="18"/>
      <c r="B43" s="35"/>
      <c r="C43" s="20" t="str">
        <f>IFERROR(__xludf.DUMMYFUNCTION("IF(B43="""","" "",IMPORTRANGE(B43,""'Export'!m1""))")," ")</f>
        <v> </v>
      </c>
      <c r="D43" s="21" t="str">
        <f t="shared" si="1"/>
        <v> ,  ,  </v>
      </c>
      <c r="E43" s="22" t="str">
        <f>IFERROR(__xludf.DUMMYFUNCTION("IF(B43="""","" "",IMPORTRANGE(B43,""'EXPORT'!L1""))")," ")</f>
        <v> </v>
      </c>
      <c r="F43" s="23" t="str">
        <f>IFERROR(__xludf.DUMMYFUNCTION("IF(B43="""","" "",IMPORTRANGE(B43,""'Export'!a1""))")," ")</f>
        <v> </v>
      </c>
      <c r="G43" s="23" t="str">
        <f>IFERROR(__xludf.DUMMYFUNCTION("IF(B43="""","" "",IMPORTRANGE(B43,""'export'!b1""))")," ")</f>
        <v> </v>
      </c>
      <c r="H43" s="23" t="str">
        <f>IFERROR(__xludf.DUMMYFUNCTION("IF(B43="""","" "",IMPORTRANGE(B43,""'export'!c1""))")," ")</f>
        <v> </v>
      </c>
      <c r="I43" s="24" t="str">
        <f>IFERROR(__xludf.DUMMYFUNCTION("IF(B43="""","" "",IMPORTRANGE(B43,""'export'!d1""))")," ")</f>
        <v> </v>
      </c>
      <c r="J43" s="25" t="str">
        <f>IFERROR(__xludf.DUMMYFUNCTION("IF(B43="""","" "",IMPORTRANGE(B43,""'export'!e1""))")," ")</f>
        <v> </v>
      </c>
      <c r="K43" s="25"/>
      <c r="L43" s="21" t="str">
        <f>IFERROR(__xludf.DUMMYFUNCTION("IF(B43="""","" "",IMPORTRANGE(B43,""'export'!f1""))")," ")</f>
        <v> </v>
      </c>
      <c r="M43" s="26" t="str">
        <f>IFERROR(__xludf.DUMMYFUNCTION("IF(B43="""","" "",IMPORTRANGE(B43,""'export'!h3""))")," ")</f>
        <v> </v>
      </c>
      <c r="N43" s="27" t="str">
        <f>IFERROR(__xludf.DUMMYFUNCTION("IF(B43="""","" "",IMPORTRANGE(B43,""'export'!h1""))")," ")</f>
        <v> </v>
      </c>
      <c r="O43" s="28" t="str">
        <f>IFERROR(__xludf.DUMMYFUNCTION("IF(B43="""","" "",IMPORTRANGE(B43,""'export'!h11""))")," ")</f>
        <v> </v>
      </c>
      <c r="P43" s="29" t="str">
        <f>IFERROR(__xludf.DUMMYFUNCTION("IF(B43="""","" "",IMPORTRANGE(B43,""'export'!i1""))")," ")</f>
        <v> </v>
      </c>
      <c r="Q43" s="30" t="str">
        <f>IFERROR(__xludf.DUMMYFUNCTION("IF(B43="""","" "",IMPORTRANGE(B43,""'export'!i13""))")," ")</f>
        <v> </v>
      </c>
      <c r="R43" s="31" t="str">
        <f t="shared" si="2"/>
        <v/>
      </c>
      <c r="S43" s="32" t="str">
        <f>IFERROR(__xludf.DUMMYFUNCTION("IF(B43="""","" "",IMPORTRANGE(B43,""'export'!g1""))")," ")</f>
        <v> </v>
      </c>
    </row>
    <row r="44">
      <c r="A44" s="18"/>
      <c r="B44" s="35"/>
      <c r="C44" s="20" t="str">
        <f>IFERROR(__xludf.DUMMYFUNCTION("IF(B44="""","" "",IMPORTRANGE(B44,""'Export'!m1""))")," ")</f>
        <v> </v>
      </c>
      <c r="D44" s="21" t="str">
        <f t="shared" si="1"/>
        <v> ,  ,  </v>
      </c>
      <c r="E44" s="22" t="str">
        <f>IFERROR(__xludf.DUMMYFUNCTION("IF(B44="""","" "",IMPORTRANGE(B44,""'EXPORT'!L1""))")," ")</f>
        <v> </v>
      </c>
      <c r="F44" s="23" t="str">
        <f>IFERROR(__xludf.DUMMYFUNCTION("IF(B44="""","" "",IMPORTRANGE(B44,""'Export'!a1""))")," ")</f>
        <v> </v>
      </c>
      <c r="G44" s="23" t="str">
        <f>IFERROR(__xludf.DUMMYFUNCTION("IF(B44="""","" "",IMPORTRANGE(B44,""'export'!b1""))")," ")</f>
        <v> </v>
      </c>
      <c r="H44" s="23" t="str">
        <f>IFERROR(__xludf.DUMMYFUNCTION("IF(B44="""","" "",IMPORTRANGE(B44,""'export'!c1""))")," ")</f>
        <v> </v>
      </c>
      <c r="I44" s="24" t="str">
        <f>IFERROR(__xludf.DUMMYFUNCTION("IF(B44="""","" "",IMPORTRANGE(B44,""'export'!d1""))")," ")</f>
        <v> </v>
      </c>
      <c r="J44" s="25" t="str">
        <f>IFERROR(__xludf.DUMMYFUNCTION("IF(B44="""","" "",IMPORTRANGE(B44,""'export'!e1""))")," ")</f>
        <v> </v>
      </c>
      <c r="K44" s="25"/>
      <c r="L44" s="21" t="str">
        <f>IFERROR(__xludf.DUMMYFUNCTION("IF(B44="""","" "",IMPORTRANGE(B44,""'export'!f1""))")," ")</f>
        <v> </v>
      </c>
      <c r="M44" s="26" t="str">
        <f>IFERROR(__xludf.DUMMYFUNCTION("IF(B44="""","" "",IMPORTRANGE(B44,""'export'!h3""))")," ")</f>
        <v> </v>
      </c>
      <c r="N44" s="27" t="str">
        <f>IFERROR(__xludf.DUMMYFUNCTION("IF(B44="""","" "",IMPORTRANGE(B44,""'export'!h1""))")," ")</f>
        <v> </v>
      </c>
      <c r="O44" s="28" t="str">
        <f>IFERROR(__xludf.DUMMYFUNCTION("IF(B44="""","" "",IMPORTRANGE(B44,""'export'!h11""))")," ")</f>
        <v> </v>
      </c>
      <c r="P44" s="29" t="str">
        <f>IFERROR(__xludf.DUMMYFUNCTION("IF(B44="""","" "",IMPORTRANGE(B44,""'export'!i1""))")," ")</f>
        <v> </v>
      </c>
      <c r="Q44" s="30" t="str">
        <f>IFERROR(__xludf.DUMMYFUNCTION("IF(B44="""","" "",IMPORTRANGE(B44,""'export'!i13""))")," ")</f>
        <v> </v>
      </c>
      <c r="R44" s="31" t="str">
        <f t="shared" si="2"/>
        <v/>
      </c>
      <c r="S44" s="32" t="str">
        <f>IFERROR(__xludf.DUMMYFUNCTION("IF(B44="""","" "",IMPORTRANGE(B44,""'export'!g1""))")," ")</f>
        <v> </v>
      </c>
    </row>
    <row r="45">
      <c r="A45" s="18"/>
      <c r="B45" s="35"/>
      <c r="C45" s="20" t="str">
        <f>IFERROR(__xludf.DUMMYFUNCTION("IF(B45="""","" "",IMPORTRANGE(B45,""'Export'!m1""))")," ")</f>
        <v> </v>
      </c>
      <c r="D45" s="21" t="str">
        <f t="shared" si="1"/>
        <v> ,  ,  </v>
      </c>
      <c r="E45" s="22" t="str">
        <f>IFERROR(__xludf.DUMMYFUNCTION("IF(B45="""","" "",IMPORTRANGE(B45,""'EXPORT'!L1""))")," ")</f>
        <v> </v>
      </c>
      <c r="F45" s="23" t="str">
        <f>IFERROR(__xludf.DUMMYFUNCTION("IF(B45="""","" "",IMPORTRANGE(B45,""'Export'!a1""))")," ")</f>
        <v> </v>
      </c>
      <c r="G45" s="23" t="str">
        <f>IFERROR(__xludf.DUMMYFUNCTION("IF(B45="""","" "",IMPORTRANGE(B45,""'export'!b1""))")," ")</f>
        <v> </v>
      </c>
      <c r="H45" s="23" t="str">
        <f>IFERROR(__xludf.DUMMYFUNCTION("IF(B45="""","" "",IMPORTRANGE(B45,""'export'!c1""))")," ")</f>
        <v> </v>
      </c>
      <c r="I45" s="24" t="str">
        <f>IFERROR(__xludf.DUMMYFUNCTION("IF(B45="""","" "",IMPORTRANGE(B45,""'export'!d1""))")," ")</f>
        <v> </v>
      </c>
      <c r="J45" s="25" t="str">
        <f>IFERROR(__xludf.DUMMYFUNCTION("IF(B45="""","" "",IMPORTRANGE(B45,""'export'!e1""))")," ")</f>
        <v> </v>
      </c>
      <c r="K45" s="25"/>
      <c r="L45" s="21" t="str">
        <f>IFERROR(__xludf.DUMMYFUNCTION("IF(B45="""","" "",IMPORTRANGE(B45,""'export'!f1""))")," ")</f>
        <v> </v>
      </c>
      <c r="M45" s="26" t="str">
        <f>IFERROR(__xludf.DUMMYFUNCTION("IF(B45="""","" "",IMPORTRANGE(B45,""'export'!h3""))")," ")</f>
        <v> </v>
      </c>
      <c r="N45" s="27" t="str">
        <f>IFERROR(__xludf.DUMMYFUNCTION("IF(B45="""","" "",IMPORTRANGE(B45,""'export'!h1""))")," ")</f>
        <v> </v>
      </c>
      <c r="O45" s="28" t="str">
        <f>IFERROR(__xludf.DUMMYFUNCTION("IF(B45="""","" "",IMPORTRANGE(B45,""'export'!h11""))")," ")</f>
        <v> </v>
      </c>
      <c r="P45" s="29" t="str">
        <f>IFERROR(__xludf.DUMMYFUNCTION("IF(B45="""","" "",IMPORTRANGE(B45,""'export'!i1""))")," ")</f>
        <v> </v>
      </c>
      <c r="Q45" s="30" t="str">
        <f>IFERROR(__xludf.DUMMYFUNCTION("IF(B45="""","" "",IMPORTRANGE(B45,""'export'!i13""))")," ")</f>
        <v> </v>
      </c>
      <c r="R45" s="31" t="str">
        <f t="shared" si="2"/>
        <v/>
      </c>
      <c r="S45" s="32" t="str">
        <f>IFERROR(__xludf.DUMMYFUNCTION("IF(B45="""","" "",IMPORTRANGE(B45,""'export'!g1""))")," ")</f>
        <v> </v>
      </c>
    </row>
    <row r="46">
      <c r="A46" s="18"/>
      <c r="B46" s="35"/>
      <c r="C46" s="20" t="str">
        <f>IFERROR(__xludf.DUMMYFUNCTION("IF(B46="""","" "",IMPORTRANGE(B46,""'Export'!m1""))")," ")</f>
        <v> </v>
      </c>
      <c r="D46" s="21" t="str">
        <f t="shared" si="1"/>
        <v> ,  ,  </v>
      </c>
      <c r="E46" s="22" t="str">
        <f>IFERROR(__xludf.DUMMYFUNCTION("IF(B46="""","" "",IMPORTRANGE(B46,""'EXPORT'!L1""))")," ")</f>
        <v> </v>
      </c>
      <c r="F46" s="23" t="str">
        <f>IFERROR(__xludf.DUMMYFUNCTION("IF(B46="""","" "",IMPORTRANGE(B46,""'Export'!a1""))")," ")</f>
        <v> </v>
      </c>
      <c r="G46" s="23" t="str">
        <f>IFERROR(__xludf.DUMMYFUNCTION("IF(B46="""","" "",IMPORTRANGE(B46,""'export'!b1""))")," ")</f>
        <v> </v>
      </c>
      <c r="H46" s="23" t="str">
        <f>IFERROR(__xludf.DUMMYFUNCTION("IF(B46="""","" "",IMPORTRANGE(B46,""'export'!c1""))")," ")</f>
        <v> </v>
      </c>
      <c r="I46" s="24" t="str">
        <f>IFERROR(__xludf.DUMMYFUNCTION("IF(B46="""","" "",IMPORTRANGE(B46,""'export'!d1""))")," ")</f>
        <v> </v>
      </c>
      <c r="J46" s="25" t="str">
        <f>IFERROR(__xludf.DUMMYFUNCTION("IF(B46="""","" "",IMPORTRANGE(B46,""'export'!e1""))")," ")</f>
        <v> </v>
      </c>
      <c r="K46" s="25"/>
      <c r="L46" s="21" t="str">
        <f>IFERROR(__xludf.DUMMYFUNCTION("IF(B46="""","" "",IMPORTRANGE(B46,""'export'!f1""))")," ")</f>
        <v> </v>
      </c>
      <c r="M46" s="26" t="str">
        <f>IFERROR(__xludf.DUMMYFUNCTION("IF(B46="""","" "",IMPORTRANGE(B46,""'export'!h3""))")," ")</f>
        <v> </v>
      </c>
      <c r="N46" s="27" t="str">
        <f>IFERROR(__xludf.DUMMYFUNCTION("IF(B46="""","" "",IMPORTRANGE(B46,""'export'!h1""))")," ")</f>
        <v> </v>
      </c>
      <c r="O46" s="28" t="str">
        <f>IFERROR(__xludf.DUMMYFUNCTION("IF(B46="""","" "",IMPORTRANGE(B46,""'export'!h11""))")," ")</f>
        <v> </v>
      </c>
      <c r="P46" s="29" t="str">
        <f>IFERROR(__xludf.DUMMYFUNCTION("IF(B46="""","" "",IMPORTRANGE(B46,""'export'!i1""))")," ")</f>
        <v> </v>
      </c>
      <c r="Q46" s="30" t="str">
        <f>IFERROR(__xludf.DUMMYFUNCTION("IF(B46="""","" "",IMPORTRANGE(B46,""'export'!i13""))")," ")</f>
        <v> </v>
      </c>
      <c r="R46" s="31" t="str">
        <f t="shared" si="2"/>
        <v/>
      </c>
      <c r="S46" s="32" t="str">
        <f>IFERROR(__xludf.DUMMYFUNCTION("IF(B46="""","" "",IMPORTRANGE(B46,""'export'!g1""))")," ")</f>
        <v> </v>
      </c>
    </row>
    <row r="47">
      <c r="A47" s="18"/>
      <c r="B47" s="35"/>
      <c r="C47" s="20" t="str">
        <f>IFERROR(__xludf.DUMMYFUNCTION("IF(B47="""","" "",IMPORTRANGE(B47,""'Export'!m1""))")," ")</f>
        <v> </v>
      </c>
      <c r="D47" s="21" t="str">
        <f t="shared" si="1"/>
        <v> ,  ,  </v>
      </c>
      <c r="E47" s="22" t="str">
        <f>IFERROR(__xludf.DUMMYFUNCTION("IF(B47="""","" "",IMPORTRANGE(B47,""'EXPORT'!L1""))")," ")</f>
        <v> </v>
      </c>
      <c r="F47" s="23" t="str">
        <f>IFERROR(__xludf.DUMMYFUNCTION("IF(B47="""","" "",IMPORTRANGE(B47,""'Export'!a1""))")," ")</f>
        <v> </v>
      </c>
      <c r="G47" s="23" t="str">
        <f>IFERROR(__xludf.DUMMYFUNCTION("IF(B47="""","" "",IMPORTRANGE(B47,""'export'!b1""))")," ")</f>
        <v> </v>
      </c>
      <c r="H47" s="23" t="str">
        <f>IFERROR(__xludf.DUMMYFUNCTION("IF(B47="""","" "",IMPORTRANGE(B47,""'export'!c1""))")," ")</f>
        <v> </v>
      </c>
      <c r="I47" s="24" t="str">
        <f>IFERROR(__xludf.DUMMYFUNCTION("IF(B47="""","" "",IMPORTRANGE(B47,""'export'!d1""))")," ")</f>
        <v> </v>
      </c>
      <c r="J47" s="25" t="str">
        <f>IFERROR(__xludf.DUMMYFUNCTION("IF(B47="""","" "",IMPORTRANGE(B47,""'export'!e1""))")," ")</f>
        <v> </v>
      </c>
      <c r="K47" s="25"/>
      <c r="L47" s="21" t="str">
        <f>IFERROR(__xludf.DUMMYFUNCTION("IF(B47="""","" "",IMPORTRANGE(B47,""'export'!f1""))")," ")</f>
        <v> </v>
      </c>
      <c r="M47" s="26" t="str">
        <f>IFERROR(__xludf.DUMMYFUNCTION("IF(B47="""","" "",IMPORTRANGE(B47,""'export'!h3""))")," ")</f>
        <v> </v>
      </c>
      <c r="N47" s="27" t="str">
        <f>IFERROR(__xludf.DUMMYFUNCTION("IF(B47="""","" "",IMPORTRANGE(B47,""'export'!h1""))")," ")</f>
        <v> </v>
      </c>
      <c r="O47" s="28" t="str">
        <f>IFERROR(__xludf.DUMMYFUNCTION("IF(B47="""","" "",IMPORTRANGE(B47,""'export'!h11""))")," ")</f>
        <v> </v>
      </c>
      <c r="P47" s="29" t="str">
        <f>IFERROR(__xludf.DUMMYFUNCTION("IF(B47="""","" "",IMPORTRANGE(B47,""'export'!i1""))")," ")</f>
        <v> </v>
      </c>
      <c r="Q47" s="30" t="str">
        <f>IFERROR(__xludf.DUMMYFUNCTION("IF(B47="""","" "",IMPORTRANGE(B47,""'export'!i13""))")," ")</f>
        <v> </v>
      </c>
      <c r="R47" s="31" t="str">
        <f t="shared" si="2"/>
        <v/>
      </c>
      <c r="S47" s="32" t="str">
        <f>IFERROR(__xludf.DUMMYFUNCTION("IF(B47="""","" "",IMPORTRANGE(B47,""'export'!g1""))")," ")</f>
        <v> </v>
      </c>
    </row>
    <row r="48" ht="37.5" customHeight="1">
      <c r="A48" s="18"/>
      <c r="B48" s="35"/>
      <c r="C48" s="20" t="str">
        <f>IFERROR(__xludf.DUMMYFUNCTION("IF(B48="""","" "",IMPORTRANGE(B48,""'Export'!m1""))")," ")</f>
        <v> </v>
      </c>
      <c r="D48" s="21" t="str">
        <f t="shared" si="1"/>
        <v> ,  ,  </v>
      </c>
      <c r="E48" s="22" t="str">
        <f>IFERROR(__xludf.DUMMYFUNCTION("IF(B48="""","" "",IMPORTRANGE(B48,""'EXPORT'!L1""))")," ")</f>
        <v> </v>
      </c>
      <c r="F48" s="23" t="str">
        <f>IFERROR(__xludf.DUMMYFUNCTION("IF(B48="""","" "",IMPORTRANGE(B48,""'Export'!a1""))")," ")</f>
        <v> </v>
      </c>
      <c r="G48" s="23" t="str">
        <f>IFERROR(__xludf.DUMMYFUNCTION("IF(B48="""","" "",IMPORTRANGE(B48,""'export'!b1""))")," ")</f>
        <v> </v>
      </c>
      <c r="H48" s="23" t="str">
        <f>IFERROR(__xludf.DUMMYFUNCTION("IF(B48="""","" "",IMPORTRANGE(B48,""'export'!c1""))")," ")</f>
        <v> </v>
      </c>
      <c r="I48" s="24" t="str">
        <f>IFERROR(__xludf.DUMMYFUNCTION("IF(B48="""","" "",IMPORTRANGE(B48,""'export'!d1""))")," ")</f>
        <v> </v>
      </c>
      <c r="J48" s="25" t="str">
        <f>IFERROR(__xludf.DUMMYFUNCTION("IF(B48="""","" "",IMPORTRANGE(B48,""'export'!e1""))")," ")</f>
        <v> </v>
      </c>
      <c r="K48" s="25"/>
      <c r="L48" s="21" t="str">
        <f>IFERROR(__xludf.DUMMYFUNCTION("IF(B48="""","" "",IMPORTRANGE(B48,""'export'!f1""))")," ")</f>
        <v> </v>
      </c>
      <c r="M48" s="26" t="str">
        <f>IFERROR(__xludf.DUMMYFUNCTION("IF(B48="""","" "",IMPORTRANGE(B48,""'export'!h3""))")," ")</f>
        <v> </v>
      </c>
      <c r="N48" s="27" t="str">
        <f>IFERROR(__xludf.DUMMYFUNCTION("IF(B48="""","" "",IMPORTRANGE(B48,""'export'!h1""))")," ")</f>
        <v> </v>
      </c>
      <c r="O48" s="28" t="str">
        <f>IFERROR(__xludf.DUMMYFUNCTION("IF(B48="""","" "",IMPORTRANGE(B48,""'export'!h11""))")," ")</f>
        <v> </v>
      </c>
      <c r="P48" s="29" t="str">
        <f>IFERROR(__xludf.DUMMYFUNCTION("IF(B48="""","" "",IMPORTRANGE(B48,""'export'!i1""))")," ")</f>
        <v> </v>
      </c>
      <c r="Q48" s="30" t="str">
        <f>IFERROR(__xludf.DUMMYFUNCTION("IF(B48="""","" "",IMPORTRANGE(B48,""'export'!i13""))")," ")</f>
        <v> </v>
      </c>
      <c r="R48" s="31" t="str">
        <f t="shared" si="2"/>
        <v/>
      </c>
      <c r="S48" s="32" t="str">
        <f>IFERROR(__xludf.DUMMYFUNCTION("IF(B48="""","" "",IMPORTRANGE(B48,""'export'!g1""))")," ")</f>
        <v> </v>
      </c>
    </row>
    <row r="49">
      <c r="A49" s="18"/>
      <c r="B49" s="35"/>
      <c r="C49" s="20" t="str">
        <f>IFERROR(__xludf.DUMMYFUNCTION("IF(B49="""","" "",IMPORTRANGE(B49,""'Export'!m1""))")," ")</f>
        <v> </v>
      </c>
      <c r="D49" s="21" t="str">
        <f t="shared" si="1"/>
        <v> ,  ,  </v>
      </c>
      <c r="E49" s="22" t="str">
        <f>IFERROR(__xludf.DUMMYFUNCTION("IF(B49="""","" "",IMPORTRANGE(B49,""'EXPORT'!L1""))")," ")</f>
        <v> </v>
      </c>
      <c r="F49" s="23" t="str">
        <f>IFERROR(__xludf.DUMMYFUNCTION("IF(B49="""","" "",IMPORTRANGE(B49,""'Export'!a1""))")," ")</f>
        <v> </v>
      </c>
      <c r="G49" s="23" t="str">
        <f>IFERROR(__xludf.DUMMYFUNCTION("IF(B49="""","" "",IMPORTRANGE(B49,""'export'!b1""))")," ")</f>
        <v> </v>
      </c>
      <c r="H49" s="23" t="str">
        <f>IFERROR(__xludf.DUMMYFUNCTION("IF(B49="""","" "",IMPORTRANGE(B49,""'export'!c1""))")," ")</f>
        <v> </v>
      </c>
      <c r="I49" s="24" t="str">
        <f>IFERROR(__xludf.DUMMYFUNCTION("IF(B49="""","" "",IMPORTRANGE(B49,""'export'!d1""))")," ")</f>
        <v> </v>
      </c>
      <c r="J49" s="25" t="str">
        <f>IFERROR(__xludf.DUMMYFUNCTION("IF(B49="""","" "",IMPORTRANGE(B49,""'export'!e1""))")," ")</f>
        <v> </v>
      </c>
      <c r="K49" s="25"/>
      <c r="L49" s="21" t="str">
        <f>IFERROR(__xludf.DUMMYFUNCTION("IF(B49="""","" "",IMPORTRANGE(B49,""'export'!f1""))")," ")</f>
        <v> </v>
      </c>
      <c r="M49" s="26" t="str">
        <f>IFERROR(__xludf.DUMMYFUNCTION("IF(B49="""","" "",IMPORTRANGE(B49,""'export'!h3""))")," ")</f>
        <v> </v>
      </c>
      <c r="N49" s="27" t="str">
        <f>IFERROR(__xludf.DUMMYFUNCTION("IF(B49="""","" "",IMPORTRANGE(B49,""'export'!h1""))")," ")</f>
        <v> </v>
      </c>
      <c r="O49" s="28" t="str">
        <f>IFERROR(__xludf.DUMMYFUNCTION("IF(B49="""","" "",IMPORTRANGE(B49,""'export'!h11""))")," ")</f>
        <v> </v>
      </c>
      <c r="P49" s="29" t="str">
        <f>IFERROR(__xludf.DUMMYFUNCTION("IF(B49="""","" "",IMPORTRANGE(B49,""'export'!i1""))")," ")</f>
        <v> </v>
      </c>
      <c r="Q49" s="30" t="str">
        <f>IFERROR(__xludf.DUMMYFUNCTION("IF(B49="""","" "",IMPORTRANGE(B49,""'export'!i13""))")," ")</f>
        <v> </v>
      </c>
      <c r="R49" s="31" t="str">
        <f t="shared" si="2"/>
        <v/>
      </c>
      <c r="S49" s="32" t="str">
        <f>IFERROR(__xludf.DUMMYFUNCTION("IF(B49="""","" "",IMPORTRANGE(B49,""'export'!g1""))")," ")</f>
        <v> </v>
      </c>
    </row>
    <row r="50">
      <c r="A50" s="18"/>
      <c r="B50" s="35"/>
      <c r="C50" s="20" t="str">
        <f>IFERROR(__xludf.DUMMYFUNCTION("IF(B50="""","" "",IMPORTRANGE(B50,""'Export'!m1""))")," ")</f>
        <v> </v>
      </c>
      <c r="D50" s="21" t="str">
        <f t="shared" si="1"/>
        <v> ,  ,  </v>
      </c>
      <c r="E50" s="22" t="str">
        <f>IFERROR(__xludf.DUMMYFUNCTION("IF(B50="""","" "",IMPORTRANGE(B50,""'EXPORT'!L1""))")," ")</f>
        <v> </v>
      </c>
      <c r="F50" s="23" t="str">
        <f>IFERROR(__xludf.DUMMYFUNCTION("IF(B50="""","" "",IMPORTRANGE(B50,""'Export'!a1""))")," ")</f>
        <v> </v>
      </c>
      <c r="G50" s="23" t="str">
        <f>IFERROR(__xludf.DUMMYFUNCTION("IF(B50="""","" "",IMPORTRANGE(B50,""'export'!b1""))")," ")</f>
        <v> </v>
      </c>
      <c r="H50" s="23" t="str">
        <f>IFERROR(__xludf.DUMMYFUNCTION("IF(B50="""","" "",IMPORTRANGE(B50,""'export'!c1""))")," ")</f>
        <v> </v>
      </c>
      <c r="I50" s="24" t="str">
        <f>IFERROR(__xludf.DUMMYFUNCTION("IF(B50="""","" "",IMPORTRANGE(B50,""'export'!d1""))")," ")</f>
        <v> </v>
      </c>
      <c r="J50" s="25" t="str">
        <f>IFERROR(__xludf.DUMMYFUNCTION("IF(B50="""","" "",IMPORTRANGE(B50,""'export'!e1""))")," ")</f>
        <v> </v>
      </c>
      <c r="K50" s="25"/>
      <c r="L50" s="21" t="str">
        <f>IFERROR(__xludf.DUMMYFUNCTION("IF(B50="""","" "",IMPORTRANGE(B50,""'export'!f1""))")," ")</f>
        <v> </v>
      </c>
      <c r="M50" s="26" t="str">
        <f>IFERROR(__xludf.DUMMYFUNCTION("IF(B50="""","" "",IMPORTRANGE(B50,""'export'!h3""))")," ")</f>
        <v> </v>
      </c>
      <c r="N50" s="27" t="str">
        <f>IFERROR(__xludf.DUMMYFUNCTION("IF(B50="""","" "",IMPORTRANGE(B50,""'export'!h1""))")," ")</f>
        <v> </v>
      </c>
      <c r="O50" s="28" t="str">
        <f>IFERROR(__xludf.DUMMYFUNCTION("IF(B50="""","" "",IMPORTRANGE(B50,""'export'!h11""))")," ")</f>
        <v> </v>
      </c>
      <c r="P50" s="29" t="str">
        <f>IFERROR(__xludf.DUMMYFUNCTION("IF(B50="""","" "",IMPORTRANGE(B50,""'export'!i1""))")," ")</f>
        <v> </v>
      </c>
      <c r="Q50" s="30" t="str">
        <f>IFERROR(__xludf.DUMMYFUNCTION("IF(B50="""","" "",IMPORTRANGE(B50,""'export'!i13""))")," ")</f>
        <v> </v>
      </c>
      <c r="R50" s="31" t="str">
        <f t="shared" si="2"/>
        <v/>
      </c>
      <c r="S50" s="32" t="str">
        <f>IFERROR(__xludf.DUMMYFUNCTION("IF(B50="""","" "",IMPORTRANGE(B50,""'export'!g1""))")," ")</f>
        <v> </v>
      </c>
    </row>
    <row r="51">
      <c r="A51" s="18"/>
      <c r="B51" s="35"/>
      <c r="C51" s="20" t="str">
        <f>IFERROR(__xludf.DUMMYFUNCTION("IF(B51="""","" "",IMPORTRANGE(B51,""'Export'!m1""))")," ")</f>
        <v> </v>
      </c>
      <c r="D51" s="21" t="str">
        <f t="shared" si="1"/>
        <v> ,  ,  </v>
      </c>
      <c r="E51" s="22" t="str">
        <f>IFERROR(__xludf.DUMMYFUNCTION("IF(B51="""","" "",IMPORTRANGE(B51,""'EXPORT'!L1""))")," ")</f>
        <v> </v>
      </c>
      <c r="F51" s="23" t="str">
        <f>IFERROR(__xludf.DUMMYFUNCTION("IF(B51="""","" "",IMPORTRANGE(B51,""'Export'!a1""))")," ")</f>
        <v> </v>
      </c>
      <c r="G51" s="23" t="str">
        <f>IFERROR(__xludf.DUMMYFUNCTION("IF(B51="""","" "",IMPORTRANGE(B51,""'export'!b1""))")," ")</f>
        <v> </v>
      </c>
      <c r="H51" s="23" t="str">
        <f>IFERROR(__xludf.DUMMYFUNCTION("IF(B51="""","" "",IMPORTRANGE(B51,""'export'!c1""))")," ")</f>
        <v> </v>
      </c>
      <c r="I51" s="24" t="str">
        <f>IFERROR(__xludf.DUMMYFUNCTION("IF(B51="""","" "",IMPORTRANGE(B51,""'export'!d1""))")," ")</f>
        <v> </v>
      </c>
      <c r="J51" s="25" t="str">
        <f>IFERROR(__xludf.DUMMYFUNCTION("IF(B51="""","" "",IMPORTRANGE(B51,""'export'!e1""))")," ")</f>
        <v> </v>
      </c>
      <c r="K51" s="25"/>
      <c r="L51" s="21" t="str">
        <f>IFERROR(__xludf.DUMMYFUNCTION("IF(B51="""","" "",IMPORTRANGE(B51,""'export'!f1""))")," ")</f>
        <v> </v>
      </c>
      <c r="M51" s="26" t="str">
        <f>IFERROR(__xludf.DUMMYFUNCTION("IF(B51="""","" "",IMPORTRANGE(B51,""'export'!h3""))")," ")</f>
        <v> </v>
      </c>
      <c r="N51" s="27" t="str">
        <f>IFERROR(__xludf.DUMMYFUNCTION("IF(B51="""","" "",IMPORTRANGE(B51,""'export'!h1""))")," ")</f>
        <v> </v>
      </c>
      <c r="O51" s="28" t="str">
        <f>IFERROR(__xludf.DUMMYFUNCTION("IF(B51="""","" "",IMPORTRANGE(B51,""'export'!h11""))")," ")</f>
        <v> </v>
      </c>
      <c r="P51" s="29" t="str">
        <f>IFERROR(__xludf.DUMMYFUNCTION("IF(B51="""","" "",IMPORTRANGE(B51,""'export'!i1""))")," ")</f>
        <v> </v>
      </c>
      <c r="Q51" s="30" t="str">
        <f>IFERROR(__xludf.DUMMYFUNCTION("IF(B51="""","" "",IMPORTRANGE(B51,""'export'!i13""))")," ")</f>
        <v> </v>
      </c>
      <c r="R51" s="31" t="str">
        <f t="shared" si="2"/>
        <v/>
      </c>
      <c r="S51" s="32" t="str">
        <f>IFERROR(__xludf.DUMMYFUNCTION("IF(B51="""","" "",IMPORTRANGE(B51,""'export'!g1""))")," ")</f>
        <v> </v>
      </c>
    </row>
    <row r="52">
      <c r="A52" s="18"/>
      <c r="B52" s="35"/>
      <c r="C52" s="20" t="str">
        <f>IFERROR(__xludf.DUMMYFUNCTION("IF(B52="""","" "",IMPORTRANGE(B52,""'Export'!m1""))")," ")</f>
        <v> </v>
      </c>
      <c r="D52" s="21" t="str">
        <f t="shared" si="1"/>
        <v> ,  ,  </v>
      </c>
      <c r="E52" s="22" t="str">
        <f>IFERROR(__xludf.DUMMYFUNCTION("IF(B52="""","" "",IMPORTRANGE(B52,""'EXPORT'!L1""))")," ")</f>
        <v> </v>
      </c>
      <c r="F52" s="23" t="str">
        <f>IFERROR(__xludf.DUMMYFUNCTION("IF(B52="""","" "",IMPORTRANGE(B52,""'Export'!a1""))")," ")</f>
        <v> </v>
      </c>
      <c r="G52" s="23" t="str">
        <f>IFERROR(__xludf.DUMMYFUNCTION("IF(B52="""","" "",IMPORTRANGE(B52,""'export'!b1""))")," ")</f>
        <v> </v>
      </c>
      <c r="H52" s="23" t="str">
        <f>IFERROR(__xludf.DUMMYFUNCTION("IF(B52="""","" "",IMPORTRANGE(B52,""'export'!c1""))")," ")</f>
        <v> </v>
      </c>
      <c r="I52" s="24" t="str">
        <f>IFERROR(__xludf.DUMMYFUNCTION("IF(B52="""","" "",IMPORTRANGE(B52,""'export'!d1""))")," ")</f>
        <v> </v>
      </c>
      <c r="J52" s="25" t="str">
        <f>IFERROR(__xludf.DUMMYFUNCTION("IF(B52="""","" "",IMPORTRANGE(B52,""'export'!e1""))")," ")</f>
        <v> </v>
      </c>
      <c r="K52" s="25"/>
      <c r="L52" s="21" t="str">
        <f>IFERROR(__xludf.DUMMYFUNCTION("IF(B52="""","" "",IMPORTRANGE(B52,""'export'!f1""))")," ")</f>
        <v> </v>
      </c>
      <c r="M52" s="26" t="str">
        <f>IFERROR(__xludf.DUMMYFUNCTION("IF(B52="""","" "",IMPORTRANGE(B52,""'export'!h3""))")," ")</f>
        <v> </v>
      </c>
      <c r="N52" s="27" t="str">
        <f>IFERROR(__xludf.DUMMYFUNCTION("IF(B52="""","" "",IMPORTRANGE(B52,""'export'!h1""))")," ")</f>
        <v> </v>
      </c>
      <c r="O52" s="28" t="str">
        <f>IFERROR(__xludf.DUMMYFUNCTION("IF(B52="""","" "",IMPORTRANGE(B52,""'export'!h11""))")," ")</f>
        <v> </v>
      </c>
      <c r="P52" s="29" t="str">
        <f>IFERROR(__xludf.DUMMYFUNCTION("IF(B52="""","" "",IMPORTRANGE(B52,""'export'!i1""))")," ")</f>
        <v> </v>
      </c>
      <c r="Q52" s="30" t="str">
        <f>IFERROR(__xludf.DUMMYFUNCTION("IF(B52="""","" "",IMPORTRANGE(B52,""'export'!i13""))")," ")</f>
        <v> </v>
      </c>
      <c r="R52" s="31" t="str">
        <f t="shared" si="2"/>
        <v/>
      </c>
      <c r="S52" s="32" t="str">
        <f>IFERROR(__xludf.DUMMYFUNCTION("IF(B52="""","" "",IMPORTRANGE(B52,""'export'!g1""))")," ")</f>
        <v> </v>
      </c>
    </row>
    <row r="53">
      <c r="A53" s="18"/>
      <c r="B53" s="35"/>
      <c r="C53" s="20" t="str">
        <f>IFERROR(__xludf.DUMMYFUNCTION("IF(B53="""","" "",IMPORTRANGE(B53,""'Export'!m1""))")," ")</f>
        <v> </v>
      </c>
      <c r="D53" s="21" t="str">
        <f t="shared" si="1"/>
        <v> ,  ,  </v>
      </c>
      <c r="E53" s="22" t="str">
        <f>IFERROR(__xludf.DUMMYFUNCTION("IF(B53="""","" "",IMPORTRANGE(B53,""'EXPORT'!L1""))")," ")</f>
        <v> </v>
      </c>
      <c r="F53" s="23" t="str">
        <f>IFERROR(__xludf.DUMMYFUNCTION("IF(B53="""","" "",IMPORTRANGE(B53,""'Export'!a1""))")," ")</f>
        <v> </v>
      </c>
      <c r="G53" s="23" t="str">
        <f>IFERROR(__xludf.DUMMYFUNCTION("IF(B53="""","" "",IMPORTRANGE(B53,""'export'!b1""))")," ")</f>
        <v> </v>
      </c>
      <c r="H53" s="23" t="str">
        <f>IFERROR(__xludf.DUMMYFUNCTION("IF(B53="""","" "",IMPORTRANGE(B53,""'export'!c1""))")," ")</f>
        <v> </v>
      </c>
      <c r="I53" s="24" t="str">
        <f>IFERROR(__xludf.DUMMYFUNCTION("IF(B53="""","" "",IMPORTRANGE(B53,""'export'!d1""))")," ")</f>
        <v> </v>
      </c>
      <c r="J53" s="25" t="str">
        <f>IFERROR(__xludf.DUMMYFUNCTION("IF(B53="""","" "",IMPORTRANGE(B53,""'export'!e1""))")," ")</f>
        <v> </v>
      </c>
      <c r="K53" s="25"/>
      <c r="L53" s="21" t="str">
        <f>IFERROR(__xludf.DUMMYFUNCTION("IF(B53="""","" "",IMPORTRANGE(B53,""'export'!f1""))")," ")</f>
        <v> </v>
      </c>
      <c r="M53" s="26" t="str">
        <f>IFERROR(__xludf.DUMMYFUNCTION("IF(B53="""","" "",IMPORTRANGE(B53,""'export'!h3""))")," ")</f>
        <v> </v>
      </c>
      <c r="N53" s="27" t="str">
        <f>IFERROR(__xludf.DUMMYFUNCTION("IF(B53="""","" "",IMPORTRANGE(B53,""'export'!h1""))")," ")</f>
        <v> </v>
      </c>
      <c r="O53" s="28" t="str">
        <f>IFERROR(__xludf.DUMMYFUNCTION("IF(B53="""","" "",IMPORTRANGE(B53,""'export'!h11""))")," ")</f>
        <v> </v>
      </c>
      <c r="P53" s="29" t="str">
        <f>IFERROR(__xludf.DUMMYFUNCTION("IF(B53="""","" "",IMPORTRANGE(B53,""'export'!i1""))")," ")</f>
        <v> </v>
      </c>
      <c r="Q53" s="30" t="str">
        <f>IFERROR(__xludf.DUMMYFUNCTION("IF(B53="""","" "",IMPORTRANGE(B53,""'export'!i13""))")," ")</f>
        <v> </v>
      </c>
      <c r="R53" s="31" t="str">
        <f t="shared" si="2"/>
        <v/>
      </c>
      <c r="S53" s="32" t="str">
        <f>IFERROR(__xludf.DUMMYFUNCTION("IF(B53="""","" "",IMPORTRANGE(B53,""'export'!g1""))")," ")</f>
        <v> </v>
      </c>
    </row>
    <row r="54">
      <c r="A54" s="18"/>
      <c r="B54" s="35"/>
      <c r="C54" s="20" t="str">
        <f>IFERROR(__xludf.DUMMYFUNCTION("IF(B54="""","" "",IMPORTRANGE(B54,""'Export'!m1""))")," ")</f>
        <v> </v>
      </c>
      <c r="D54" s="21" t="str">
        <f t="shared" si="1"/>
        <v> ,  ,  </v>
      </c>
      <c r="E54" s="22" t="str">
        <f>IFERROR(__xludf.DUMMYFUNCTION("IF(B54="""","" "",IMPORTRANGE(B54,""'EXPORT'!L1""))")," ")</f>
        <v> </v>
      </c>
      <c r="F54" s="23" t="str">
        <f>IFERROR(__xludf.DUMMYFUNCTION("IF(B54="""","" "",IMPORTRANGE(B54,""'Export'!a1""))")," ")</f>
        <v> </v>
      </c>
      <c r="G54" s="23" t="str">
        <f>IFERROR(__xludf.DUMMYFUNCTION("IF(B54="""","" "",IMPORTRANGE(B54,""'export'!b1""))")," ")</f>
        <v> </v>
      </c>
      <c r="H54" s="23" t="str">
        <f>IFERROR(__xludf.DUMMYFUNCTION("IF(B54="""","" "",IMPORTRANGE(B54,""'export'!c1""))")," ")</f>
        <v> </v>
      </c>
      <c r="I54" s="24" t="str">
        <f>IFERROR(__xludf.DUMMYFUNCTION("IF(B54="""","" "",IMPORTRANGE(B54,""'export'!d1""))")," ")</f>
        <v> </v>
      </c>
      <c r="J54" s="25" t="str">
        <f>IFERROR(__xludf.DUMMYFUNCTION("IF(B54="""","" "",IMPORTRANGE(B54,""'export'!e1""))")," ")</f>
        <v> </v>
      </c>
      <c r="K54" s="25"/>
      <c r="L54" s="21" t="str">
        <f>IFERROR(__xludf.DUMMYFUNCTION("IF(B54="""","" "",IMPORTRANGE(B54,""'export'!f1""))")," ")</f>
        <v> </v>
      </c>
      <c r="M54" s="26" t="str">
        <f>IFERROR(__xludf.DUMMYFUNCTION("IF(B54="""","" "",IMPORTRANGE(B54,""'export'!h3""))")," ")</f>
        <v> </v>
      </c>
      <c r="N54" s="27" t="str">
        <f>IFERROR(__xludf.DUMMYFUNCTION("IF(B54="""","" "",IMPORTRANGE(B54,""'export'!h1""))")," ")</f>
        <v> </v>
      </c>
      <c r="O54" s="28" t="str">
        <f>IFERROR(__xludf.DUMMYFUNCTION("IF(B54="""","" "",IMPORTRANGE(B54,""'export'!h11""))")," ")</f>
        <v> </v>
      </c>
      <c r="P54" s="29" t="str">
        <f>IFERROR(__xludf.DUMMYFUNCTION("IF(B54="""","" "",IMPORTRANGE(B54,""'export'!i1""))")," ")</f>
        <v> </v>
      </c>
      <c r="Q54" s="30" t="str">
        <f>IFERROR(__xludf.DUMMYFUNCTION("IF(B54="""","" "",IMPORTRANGE(B54,""'export'!i13""))")," ")</f>
        <v> </v>
      </c>
      <c r="R54" s="31" t="str">
        <f t="shared" si="2"/>
        <v/>
      </c>
      <c r="S54" s="32" t="str">
        <f>IFERROR(__xludf.DUMMYFUNCTION("IF(B54="""","" "",IMPORTRANGE(B54,""'export'!g1""))")," ")</f>
        <v> </v>
      </c>
    </row>
    <row r="55">
      <c r="A55" s="18"/>
      <c r="B55" s="35"/>
      <c r="C55" s="20" t="str">
        <f>IFERROR(__xludf.DUMMYFUNCTION("IF(B55="""","" "",IMPORTRANGE(B55,""'Export'!m1""))")," ")</f>
        <v> </v>
      </c>
      <c r="D55" s="21" t="str">
        <f t="shared" si="1"/>
        <v> ,  ,  </v>
      </c>
      <c r="E55" s="22" t="str">
        <f>IFERROR(__xludf.DUMMYFUNCTION("IF(B55="""","" "",IMPORTRANGE(B55,""'EXPORT'!L1""))")," ")</f>
        <v> </v>
      </c>
      <c r="F55" s="23" t="str">
        <f>IFERROR(__xludf.DUMMYFUNCTION("IF(B55="""","" "",IMPORTRANGE(B55,""'Export'!a1""))")," ")</f>
        <v> </v>
      </c>
      <c r="G55" s="23" t="str">
        <f>IFERROR(__xludf.DUMMYFUNCTION("IF(B55="""","" "",IMPORTRANGE(B55,""'export'!b1""))")," ")</f>
        <v> </v>
      </c>
      <c r="H55" s="23" t="str">
        <f>IFERROR(__xludf.DUMMYFUNCTION("IF(B55="""","" "",IMPORTRANGE(B55,""'export'!c1""))")," ")</f>
        <v> </v>
      </c>
      <c r="I55" s="24" t="str">
        <f>IFERROR(__xludf.DUMMYFUNCTION("IF(B55="""","" "",IMPORTRANGE(B55,""'export'!d1""))")," ")</f>
        <v> </v>
      </c>
      <c r="J55" s="25" t="str">
        <f>IFERROR(__xludf.DUMMYFUNCTION("IF(B55="""","" "",IMPORTRANGE(B55,""'export'!e1""))")," ")</f>
        <v> </v>
      </c>
      <c r="K55" s="25"/>
      <c r="L55" s="21" t="str">
        <f>IFERROR(__xludf.DUMMYFUNCTION("IF(B55="""","" "",IMPORTRANGE(B55,""'export'!f1""))")," ")</f>
        <v> </v>
      </c>
      <c r="M55" s="26" t="str">
        <f>IFERROR(__xludf.DUMMYFUNCTION("IF(B55="""","" "",IMPORTRANGE(B55,""'export'!h3""))")," ")</f>
        <v> </v>
      </c>
      <c r="N55" s="27" t="str">
        <f>IFERROR(__xludf.DUMMYFUNCTION("IF(B55="""","" "",IMPORTRANGE(B55,""'export'!h1""))")," ")</f>
        <v> </v>
      </c>
      <c r="O55" s="28" t="str">
        <f>IFERROR(__xludf.DUMMYFUNCTION("IF(B55="""","" "",IMPORTRANGE(B55,""'export'!h11""))")," ")</f>
        <v> </v>
      </c>
      <c r="P55" s="29" t="str">
        <f>IFERROR(__xludf.DUMMYFUNCTION("IF(B55="""","" "",IMPORTRANGE(B55,""'export'!i1""))")," ")</f>
        <v> </v>
      </c>
      <c r="Q55" s="30" t="str">
        <f>IFERROR(__xludf.DUMMYFUNCTION("IF(B55="""","" "",IMPORTRANGE(B55,""'export'!i13""))")," ")</f>
        <v> </v>
      </c>
      <c r="R55" s="31" t="str">
        <f t="shared" si="2"/>
        <v/>
      </c>
      <c r="S55" s="32" t="str">
        <f>IFERROR(__xludf.DUMMYFUNCTION("IF(B55="""","" "",IMPORTRANGE(B55,""'export'!g1""))")," ")</f>
        <v> </v>
      </c>
    </row>
    <row r="56">
      <c r="A56" s="18"/>
      <c r="B56" s="35"/>
      <c r="C56" s="20" t="str">
        <f>IFERROR(__xludf.DUMMYFUNCTION("IF(B56="""","" "",IMPORTRANGE(B56,""'Export'!m1""))")," ")</f>
        <v> </v>
      </c>
      <c r="D56" s="21" t="str">
        <f t="shared" si="1"/>
        <v> ,  ,  </v>
      </c>
      <c r="E56" s="22" t="str">
        <f>IFERROR(__xludf.DUMMYFUNCTION("IF(B56="""","" "",IMPORTRANGE(B56,""'EXPORT'!L1""))")," ")</f>
        <v> </v>
      </c>
      <c r="F56" s="23" t="str">
        <f>IFERROR(__xludf.DUMMYFUNCTION("IF(B56="""","" "",IMPORTRANGE(B56,""'Export'!a1""))")," ")</f>
        <v> </v>
      </c>
      <c r="G56" s="23" t="str">
        <f>IFERROR(__xludf.DUMMYFUNCTION("IF(B56="""","" "",IMPORTRANGE(B56,""'export'!b1""))")," ")</f>
        <v> </v>
      </c>
      <c r="H56" s="23" t="str">
        <f>IFERROR(__xludf.DUMMYFUNCTION("IF(B56="""","" "",IMPORTRANGE(B56,""'export'!c1""))")," ")</f>
        <v> </v>
      </c>
      <c r="I56" s="24" t="str">
        <f>IFERROR(__xludf.DUMMYFUNCTION("IF(B56="""","" "",IMPORTRANGE(B56,""'export'!d1""))")," ")</f>
        <v> </v>
      </c>
      <c r="J56" s="25" t="str">
        <f>IFERROR(__xludf.DUMMYFUNCTION("IF(B56="""","" "",IMPORTRANGE(B56,""'export'!e1""))")," ")</f>
        <v> </v>
      </c>
      <c r="K56" s="25"/>
      <c r="L56" s="21" t="str">
        <f>IFERROR(__xludf.DUMMYFUNCTION("IF(B56="""","" "",IMPORTRANGE(B56,""'export'!f1""))")," ")</f>
        <v> </v>
      </c>
      <c r="M56" s="26" t="str">
        <f>IFERROR(__xludf.DUMMYFUNCTION("IF(B56="""","" "",IMPORTRANGE(B56,""'export'!h3""))")," ")</f>
        <v> </v>
      </c>
      <c r="N56" s="27" t="str">
        <f>IFERROR(__xludf.DUMMYFUNCTION("IF(B56="""","" "",IMPORTRANGE(B56,""'export'!h1""))")," ")</f>
        <v> </v>
      </c>
      <c r="O56" s="28" t="str">
        <f>IFERROR(__xludf.DUMMYFUNCTION("IF(B56="""","" "",IMPORTRANGE(B56,""'export'!h11""))")," ")</f>
        <v> </v>
      </c>
      <c r="P56" s="29" t="str">
        <f>IFERROR(__xludf.DUMMYFUNCTION("IF(B56="""","" "",IMPORTRANGE(B56,""'export'!i1""))")," ")</f>
        <v> </v>
      </c>
      <c r="Q56" s="30" t="str">
        <f>IFERROR(__xludf.DUMMYFUNCTION("IF(B56="""","" "",IMPORTRANGE(B56,""'export'!i13""))")," ")</f>
        <v> </v>
      </c>
      <c r="R56" s="31" t="str">
        <f t="shared" si="2"/>
        <v/>
      </c>
      <c r="S56" s="32" t="str">
        <f>IFERROR(__xludf.DUMMYFUNCTION("IF(B56="""","" "",IMPORTRANGE(B56,""'export'!g1""))")," ")</f>
        <v> </v>
      </c>
    </row>
    <row r="57">
      <c r="A57" s="18"/>
      <c r="B57" s="35"/>
      <c r="C57" s="20" t="str">
        <f>IFERROR(__xludf.DUMMYFUNCTION("IF(B57="""","" "",IMPORTRANGE(B57,""'Export'!m1""))")," ")</f>
        <v> </v>
      </c>
      <c r="D57" s="21" t="str">
        <f t="shared" si="1"/>
        <v> ,  ,  </v>
      </c>
      <c r="E57" s="22" t="str">
        <f>IFERROR(__xludf.DUMMYFUNCTION("IF(B57="""","" "",IMPORTRANGE(B57,""'EXPORT'!L1""))")," ")</f>
        <v> </v>
      </c>
      <c r="F57" s="23" t="str">
        <f>IFERROR(__xludf.DUMMYFUNCTION("IF(B57="""","" "",IMPORTRANGE(B57,""'Export'!a1""))")," ")</f>
        <v> </v>
      </c>
      <c r="G57" s="23" t="str">
        <f>IFERROR(__xludf.DUMMYFUNCTION("IF(B57="""","" "",IMPORTRANGE(B57,""'export'!b1""))")," ")</f>
        <v> </v>
      </c>
      <c r="H57" s="23" t="str">
        <f>IFERROR(__xludf.DUMMYFUNCTION("IF(B57="""","" "",IMPORTRANGE(B57,""'export'!c1""))")," ")</f>
        <v> </v>
      </c>
      <c r="I57" s="24" t="str">
        <f>IFERROR(__xludf.DUMMYFUNCTION("IF(B57="""","" "",IMPORTRANGE(B57,""'export'!d1""))")," ")</f>
        <v> </v>
      </c>
      <c r="J57" s="25" t="str">
        <f>IFERROR(__xludf.DUMMYFUNCTION("IF(B57="""","" "",IMPORTRANGE(B57,""'export'!e1""))")," ")</f>
        <v> </v>
      </c>
      <c r="K57" s="25"/>
      <c r="L57" s="21" t="str">
        <f>IFERROR(__xludf.DUMMYFUNCTION("IF(B57="""","" "",IMPORTRANGE(B57,""'export'!f1""))")," ")</f>
        <v> </v>
      </c>
      <c r="M57" s="26" t="str">
        <f>IFERROR(__xludf.DUMMYFUNCTION("IF(B57="""","" "",IMPORTRANGE(B57,""'export'!h3""))")," ")</f>
        <v> </v>
      </c>
      <c r="N57" s="27" t="str">
        <f>IFERROR(__xludf.DUMMYFUNCTION("IF(B57="""","" "",IMPORTRANGE(B57,""'export'!h1""))")," ")</f>
        <v> </v>
      </c>
      <c r="O57" s="28" t="str">
        <f>IFERROR(__xludf.DUMMYFUNCTION("IF(B57="""","" "",IMPORTRANGE(B57,""'export'!h11""))")," ")</f>
        <v> </v>
      </c>
      <c r="P57" s="29" t="str">
        <f>IFERROR(__xludf.DUMMYFUNCTION("IF(B57="""","" "",IMPORTRANGE(B57,""'export'!i1""))")," ")</f>
        <v> </v>
      </c>
      <c r="Q57" s="30" t="str">
        <f>IFERROR(__xludf.DUMMYFUNCTION("IF(B57="""","" "",IMPORTRANGE(B57,""'export'!i13""))")," ")</f>
        <v> </v>
      </c>
      <c r="R57" s="31" t="str">
        <f t="shared" si="2"/>
        <v/>
      </c>
      <c r="S57" s="32" t="str">
        <f>IFERROR(__xludf.DUMMYFUNCTION("IF(B57="""","" "",IMPORTRANGE(B57,""'export'!g1""))")," ")</f>
        <v> </v>
      </c>
    </row>
    <row r="58">
      <c r="A58" s="18"/>
      <c r="B58" s="35"/>
      <c r="C58" s="20" t="str">
        <f>IFERROR(__xludf.DUMMYFUNCTION("IF(B58="""","" "",IMPORTRANGE(B58,""'Export'!m1""))")," ")</f>
        <v> </v>
      </c>
      <c r="D58" s="21" t="str">
        <f t="shared" si="1"/>
        <v> ,  ,  </v>
      </c>
      <c r="E58" s="22" t="str">
        <f>IFERROR(__xludf.DUMMYFUNCTION("IF(B58="""","" "",IMPORTRANGE(B58,""'EXPORT'!L1""))")," ")</f>
        <v> </v>
      </c>
      <c r="F58" s="23" t="str">
        <f>IFERROR(__xludf.DUMMYFUNCTION("IF(B58="""","" "",IMPORTRANGE(B58,""'Export'!a1""))")," ")</f>
        <v> </v>
      </c>
      <c r="G58" s="23" t="str">
        <f>IFERROR(__xludf.DUMMYFUNCTION("IF(B58="""","" "",IMPORTRANGE(B58,""'export'!b1""))")," ")</f>
        <v> </v>
      </c>
      <c r="H58" s="23" t="str">
        <f>IFERROR(__xludf.DUMMYFUNCTION("IF(B58="""","" "",IMPORTRANGE(B58,""'export'!c1""))")," ")</f>
        <v> </v>
      </c>
      <c r="I58" s="24" t="str">
        <f>IFERROR(__xludf.DUMMYFUNCTION("IF(B58="""","" "",IMPORTRANGE(B58,""'export'!d1""))")," ")</f>
        <v> </v>
      </c>
      <c r="J58" s="25" t="str">
        <f>IFERROR(__xludf.DUMMYFUNCTION("IF(B58="""","" "",IMPORTRANGE(B58,""'export'!e1""))")," ")</f>
        <v> </v>
      </c>
      <c r="K58" s="25"/>
      <c r="L58" s="21" t="str">
        <f>IFERROR(__xludf.DUMMYFUNCTION("IF(B58="""","" "",IMPORTRANGE(B58,""'export'!f1""))")," ")</f>
        <v> </v>
      </c>
      <c r="M58" s="26" t="str">
        <f>IFERROR(__xludf.DUMMYFUNCTION("IF(B58="""","" "",IMPORTRANGE(B58,""'export'!h3""))")," ")</f>
        <v> </v>
      </c>
      <c r="N58" s="27" t="str">
        <f>IFERROR(__xludf.DUMMYFUNCTION("IF(B58="""","" "",IMPORTRANGE(B58,""'export'!h1""))")," ")</f>
        <v> </v>
      </c>
      <c r="O58" s="28" t="str">
        <f>IFERROR(__xludf.DUMMYFUNCTION("IF(B58="""","" "",IMPORTRANGE(B58,""'export'!h11""))")," ")</f>
        <v> </v>
      </c>
      <c r="P58" s="29" t="str">
        <f>IFERROR(__xludf.DUMMYFUNCTION("IF(B58="""","" "",IMPORTRANGE(B58,""'export'!i1""))")," ")</f>
        <v> </v>
      </c>
      <c r="Q58" s="30" t="str">
        <f>IFERROR(__xludf.DUMMYFUNCTION("IF(B58="""","" "",IMPORTRANGE(B58,""'export'!i13""))")," ")</f>
        <v> </v>
      </c>
      <c r="R58" s="31" t="str">
        <f t="shared" si="2"/>
        <v/>
      </c>
      <c r="S58" s="32" t="str">
        <f>IFERROR(__xludf.DUMMYFUNCTION("IF(B58="""","" "",IMPORTRANGE(B58,""'export'!g1""))")," ")</f>
        <v> </v>
      </c>
    </row>
    <row r="59">
      <c r="A59" s="18"/>
      <c r="B59" s="35"/>
      <c r="C59" s="20" t="str">
        <f>IFERROR(__xludf.DUMMYFUNCTION("IF(B59="""","" "",IMPORTRANGE(B59,""'Export'!m1""))")," ")</f>
        <v> </v>
      </c>
      <c r="D59" s="21" t="str">
        <f t="shared" si="1"/>
        <v> ,  ,  </v>
      </c>
      <c r="E59" s="22" t="str">
        <f>IFERROR(__xludf.DUMMYFUNCTION("IF(B59="""","" "",IMPORTRANGE(B59,""'EXPORT'!L1""))")," ")</f>
        <v> </v>
      </c>
      <c r="F59" s="23" t="str">
        <f>IFERROR(__xludf.DUMMYFUNCTION("IF(B59="""","" "",IMPORTRANGE(B59,""'Export'!a1""))")," ")</f>
        <v> </v>
      </c>
      <c r="G59" s="23" t="str">
        <f>IFERROR(__xludf.DUMMYFUNCTION("IF(B59="""","" "",IMPORTRANGE(B59,""'export'!b1""))")," ")</f>
        <v> </v>
      </c>
      <c r="H59" s="23" t="str">
        <f>IFERROR(__xludf.DUMMYFUNCTION("IF(B59="""","" "",IMPORTRANGE(B59,""'export'!c1""))")," ")</f>
        <v> </v>
      </c>
      <c r="I59" s="24" t="str">
        <f>IFERROR(__xludf.DUMMYFUNCTION("IF(B59="""","" "",IMPORTRANGE(B59,""'export'!d1""))")," ")</f>
        <v> </v>
      </c>
      <c r="J59" s="25" t="str">
        <f>IFERROR(__xludf.DUMMYFUNCTION("IF(B59="""","" "",IMPORTRANGE(B59,""'export'!e1""))")," ")</f>
        <v> </v>
      </c>
      <c r="K59" s="25"/>
      <c r="L59" s="21" t="str">
        <f>IFERROR(__xludf.DUMMYFUNCTION("IF(B59="""","" "",IMPORTRANGE(B59,""'export'!f1""))")," ")</f>
        <v> </v>
      </c>
      <c r="M59" s="26" t="str">
        <f>IFERROR(__xludf.DUMMYFUNCTION("IF(B59="""","" "",IMPORTRANGE(B59,""'export'!h3""))")," ")</f>
        <v> </v>
      </c>
      <c r="N59" s="27" t="str">
        <f>IFERROR(__xludf.DUMMYFUNCTION("IF(B59="""","" "",IMPORTRANGE(B59,""'export'!h1""))")," ")</f>
        <v> </v>
      </c>
      <c r="O59" s="28" t="str">
        <f>IFERROR(__xludf.DUMMYFUNCTION("IF(B59="""","" "",IMPORTRANGE(B59,""'export'!h11""))")," ")</f>
        <v> </v>
      </c>
      <c r="P59" s="29" t="str">
        <f>IFERROR(__xludf.DUMMYFUNCTION("IF(B59="""","" "",IMPORTRANGE(B59,""'export'!i1""))")," ")</f>
        <v> </v>
      </c>
      <c r="Q59" s="30" t="str">
        <f>IFERROR(__xludf.DUMMYFUNCTION("IF(B59="""","" "",IMPORTRANGE(B59,""'export'!i13""))")," ")</f>
        <v> </v>
      </c>
      <c r="R59" s="31" t="str">
        <f t="shared" si="2"/>
        <v/>
      </c>
      <c r="S59" s="32" t="str">
        <f>IFERROR(__xludf.DUMMYFUNCTION("IF(B59="""","" "",IMPORTRANGE(B59,""'export'!g1""))")," ")</f>
        <v> </v>
      </c>
    </row>
    <row r="60">
      <c r="A60" s="18"/>
      <c r="B60" s="35"/>
      <c r="C60" s="20" t="str">
        <f>IFERROR(__xludf.DUMMYFUNCTION("IF(B60="""","" "",IMPORTRANGE(B60,""'Export'!m1""))")," ")</f>
        <v> </v>
      </c>
      <c r="D60" s="21" t="str">
        <f t="shared" si="1"/>
        <v> ,  ,  </v>
      </c>
      <c r="E60" s="22" t="str">
        <f>IFERROR(__xludf.DUMMYFUNCTION("IF(B60="""","" "",IMPORTRANGE(B60,""'EXPORT'!L1""))")," ")</f>
        <v> </v>
      </c>
      <c r="F60" s="23" t="str">
        <f>IFERROR(__xludf.DUMMYFUNCTION("IF(B60="""","" "",IMPORTRANGE(B60,""'Export'!a1""))")," ")</f>
        <v> </v>
      </c>
      <c r="G60" s="23" t="str">
        <f>IFERROR(__xludf.DUMMYFUNCTION("IF(B60="""","" "",IMPORTRANGE(B60,""'export'!b1""))")," ")</f>
        <v> </v>
      </c>
      <c r="H60" s="23" t="str">
        <f>IFERROR(__xludf.DUMMYFUNCTION("IF(B60="""","" "",IMPORTRANGE(B60,""'export'!c1""))")," ")</f>
        <v> </v>
      </c>
      <c r="I60" s="24" t="str">
        <f>IFERROR(__xludf.DUMMYFUNCTION("IF(B60="""","" "",IMPORTRANGE(B60,""'export'!d1""))")," ")</f>
        <v> </v>
      </c>
      <c r="J60" s="25" t="str">
        <f>IFERROR(__xludf.DUMMYFUNCTION("IF(B60="""","" "",IMPORTRANGE(B60,""'export'!e1""))")," ")</f>
        <v> </v>
      </c>
      <c r="K60" s="25"/>
      <c r="L60" s="21" t="str">
        <f>IFERROR(__xludf.DUMMYFUNCTION("IF(B60="""","" "",IMPORTRANGE(B60,""'export'!f1""))")," ")</f>
        <v> </v>
      </c>
      <c r="M60" s="26" t="str">
        <f>IFERROR(__xludf.DUMMYFUNCTION("IF(B60="""","" "",IMPORTRANGE(B60,""'export'!h3""))")," ")</f>
        <v> </v>
      </c>
      <c r="N60" s="27" t="str">
        <f>IFERROR(__xludf.DUMMYFUNCTION("IF(B60="""","" "",IMPORTRANGE(B60,""'export'!h1""))")," ")</f>
        <v> </v>
      </c>
      <c r="O60" s="28" t="str">
        <f>IFERROR(__xludf.DUMMYFUNCTION("IF(B60="""","" "",IMPORTRANGE(B60,""'export'!h11""))")," ")</f>
        <v> </v>
      </c>
      <c r="P60" s="29" t="str">
        <f>IFERROR(__xludf.DUMMYFUNCTION("IF(B60="""","" "",IMPORTRANGE(B60,""'export'!i1""))")," ")</f>
        <v> </v>
      </c>
      <c r="Q60" s="30" t="str">
        <f>IFERROR(__xludf.DUMMYFUNCTION("IF(B60="""","" "",IMPORTRANGE(B60,""'export'!i13""))")," ")</f>
        <v> </v>
      </c>
      <c r="R60" s="31" t="str">
        <f t="shared" si="2"/>
        <v/>
      </c>
      <c r="S60" s="32" t="str">
        <f>IFERROR(__xludf.DUMMYFUNCTION("IF(B60="""","" "",IMPORTRANGE(B60,""'export'!g1""))")," ")</f>
        <v> </v>
      </c>
    </row>
    <row r="61">
      <c r="A61" s="18"/>
      <c r="B61" s="35"/>
      <c r="C61" s="20" t="str">
        <f>IFERROR(__xludf.DUMMYFUNCTION("IF(B61="""","" "",IMPORTRANGE(B61,""'Export'!m1""))")," ")</f>
        <v> </v>
      </c>
      <c r="D61" s="21" t="str">
        <f t="shared" si="1"/>
        <v> ,  ,  </v>
      </c>
      <c r="E61" s="22" t="str">
        <f>IFERROR(__xludf.DUMMYFUNCTION("IF(B61="""","" "",IMPORTRANGE(B61,""'EXPORT'!L1""))")," ")</f>
        <v> </v>
      </c>
      <c r="F61" s="23" t="str">
        <f>IFERROR(__xludf.DUMMYFUNCTION("IF(B61="""","" "",IMPORTRANGE(B61,""'Export'!a1""))")," ")</f>
        <v> </v>
      </c>
      <c r="G61" s="23" t="str">
        <f>IFERROR(__xludf.DUMMYFUNCTION("IF(B61="""","" "",IMPORTRANGE(B61,""'export'!b1""))")," ")</f>
        <v> </v>
      </c>
      <c r="H61" s="23" t="str">
        <f>IFERROR(__xludf.DUMMYFUNCTION("IF(B61="""","" "",IMPORTRANGE(B61,""'export'!c1""))")," ")</f>
        <v> </v>
      </c>
      <c r="I61" s="24" t="str">
        <f>IFERROR(__xludf.DUMMYFUNCTION("IF(B61="""","" "",IMPORTRANGE(B61,""'export'!d1""))")," ")</f>
        <v> </v>
      </c>
      <c r="J61" s="25" t="str">
        <f>IFERROR(__xludf.DUMMYFUNCTION("IF(B61="""","" "",IMPORTRANGE(B61,""'export'!e1""))")," ")</f>
        <v> </v>
      </c>
      <c r="K61" s="25"/>
      <c r="L61" s="21" t="str">
        <f>IFERROR(__xludf.DUMMYFUNCTION("IF(B61="""","" "",IMPORTRANGE(B61,""'export'!f1""))")," ")</f>
        <v> </v>
      </c>
      <c r="M61" s="26" t="str">
        <f>IFERROR(__xludf.DUMMYFUNCTION("IF(B61="""","" "",IMPORTRANGE(B61,""'export'!h3""))")," ")</f>
        <v> </v>
      </c>
      <c r="N61" s="27" t="str">
        <f>IFERROR(__xludf.DUMMYFUNCTION("IF(B61="""","" "",IMPORTRANGE(B61,""'export'!h1""))")," ")</f>
        <v> </v>
      </c>
      <c r="O61" s="28" t="str">
        <f>IFERROR(__xludf.DUMMYFUNCTION("IF(B61="""","" "",IMPORTRANGE(B61,""'export'!h11""))")," ")</f>
        <v> </v>
      </c>
      <c r="P61" s="29" t="str">
        <f>IFERROR(__xludf.DUMMYFUNCTION("IF(B61="""","" "",IMPORTRANGE(B61,""'export'!i1""))")," ")</f>
        <v> </v>
      </c>
      <c r="Q61" s="30" t="str">
        <f>IFERROR(__xludf.DUMMYFUNCTION("IF(B61="""","" "",IMPORTRANGE(B61,""'export'!i13""))")," ")</f>
        <v> </v>
      </c>
      <c r="R61" s="31" t="str">
        <f t="shared" si="2"/>
        <v/>
      </c>
      <c r="S61" s="32" t="str">
        <f>IFERROR(__xludf.DUMMYFUNCTION("IF(B61="""","" "",IMPORTRANGE(B61,""'export'!g1""))")," ")</f>
        <v> </v>
      </c>
    </row>
    <row r="62">
      <c r="A62" s="18"/>
      <c r="B62" s="35"/>
      <c r="C62" s="20" t="str">
        <f>IFERROR(__xludf.DUMMYFUNCTION("IF(B62="""","" "",IMPORTRANGE(B62,""'Export'!m1""))")," ")</f>
        <v> </v>
      </c>
      <c r="D62" s="21" t="str">
        <f t="shared" si="1"/>
        <v> ,  ,  </v>
      </c>
      <c r="E62" s="22" t="str">
        <f>IFERROR(__xludf.DUMMYFUNCTION("IF(B62="""","" "",IMPORTRANGE(B62,""'EXPORT'!L1""))")," ")</f>
        <v> </v>
      </c>
      <c r="F62" s="23" t="str">
        <f>IFERROR(__xludf.DUMMYFUNCTION("IF(B62="""","" "",IMPORTRANGE(B62,""'Export'!a1""))")," ")</f>
        <v> </v>
      </c>
      <c r="G62" s="23" t="str">
        <f>IFERROR(__xludf.DUMMYFUNCTION("IF(B62="""","" "",IMPORTRANGE(B62,""'export'!b1""))")," ")</f>
        <v> </v>
      </c>
      <c r="H62" s="23" t="str">
        <f>IFERROR(__xludf.DUMMYFUNCTION("IF(B62="""","" "",IMPORTRANGE(B62,""'export'!c1""))")," ")</f>
        <v> </v>
      </c>
      <c r="I62" s="24" t="str">
        <f>IFERROR(__xludf.DUMMYFUNCTION("IF(B62="""","" "",IMPORTRANGE(B62,""'export'!d1""))")," ")</f>
        <v> </v>
      </c>
      <c r="J62" s="25" t="str">
        <f>IFERROR(__xludf.DUMMYFUNCTION("IF(B62="""","" "",IMPORTRANGE(B62,""'export'!e1""))")," ")</f>
        <v> </v>
      </c>
      <c r="K62" s="25"/>
      <c r="L62" s="21" t="str">
        <f>IFERROR(__xludf.DUMMYFUNCTION("IF(B62="""","" "",IMPORTRANGE(B62,""'export'!f1""))")," ")</f>
        <v> </v>
      </c>
      <c r="M62" s="26" t="str">
        <f>IFERROR(__xludf.DUMMYFUNCTION("IF(B62="""","" "",IMPORTRANGE(B62,""'export'!h3""))")," ")</f>
        <v> </v>
      </c>
      <c r="N62" s="27" t="str">
        <f>IFERROR(__xludf.DUMMYFUNCTION("IF(B62="""","" "",IMPORTRANGE(B62,""'export'!h1""))")," ")</f>
        <v> </v>
      </c>
      <c r="O62" s="28" t="str">
        <f>IFERROR(__xludf.DUMMYFUNCTION("IF(B62="""","" "",IMPORTRANGE(B62,""'export'!h11""))")," ")</f>
        <v> </v>
      </c>
      <c r="P62" s="29" t="str">
        <f>IFERROR(__xludf.DUMMYFUNCTION("IF(B62="""","" "",IMPORTRANGE(B62,""'export'!i1""))")," ")</f>
        <v> </v>
      </c>
      <c r="Q62" s="30" t="str">
        <f>IFERROR(__xludf.DUMMYFUNCTION("IF(B62="""","" "",IMPORTRANGE(B62,""'export'!i13""))")," ")</f>
        <v> </v>
      </c>
      <c r="R62" s="31" t="str">
        <f t="shared" si="2"/>
        <v/>
      </c>
      <c r="S62" s="32" t="str">
        <f>IFERROR(__xludf.DUMMYFUNCTION("IF(B62="""","" "",IMPORTRANGE(B62,""'export'!g1""))")," ")</f>
        <v> </v>
      </c>
    </row>
    <row r="63">
      <c r="A63" s="18"/>
      <c r="B63" s="35"/>
      <c r="C63" s="20" t="str">
        <f>IFERROR(__xludf.DUMMYFUNCTION("IF(B63="""","" "",IMPORTRANGE(B63,""'Export'!m1""))")," ")</f>
        <v> </v>
      </c>
      <c r="D63" s="21" t="str">
        <f t="shared" si="1"/>
        <v> ,  ,  </v>
      </c>
      <c r="E63" s="22" t="str">
        <f>IFERROR(__xludf.DUMMYFUNCTION("IF(B63="""","" "",IMPORTRANGE(B63,""'EXPORT'!L1""))")," ")</f>
        <v> </v>
      </c>
      <c r="F63" s="23" t="str">
        <f>IFERROR(__xludf.DUMMYFUNCTION("IF(B63="""","" "",IMPORTRANGE(B63,""'Export'!a1""))")," ")</f>
        <v> </v>
      </c>
      <c r="G63" s="23" t="str">
        <f>IFERROR(__xludf.DUMMYFUNCTION("IF(B63="""","" "",IMPORTRANGE(B63,""'export'!b1""))")," ")</f>
        <v> </v>
      </c>
      <c r="H63" s="23" t="str">
        <f>IFERROR(__xludf.DUMMYFUNCTION("IF(B63="""","" "",IMPORTRANGE(B63,""'export'!c1""))")," ")</f>
        <v> </v>
      </c>
      <c r="I63" s="24" t="str">
        <f>IFERROR(__xludf.DUMMYFUNCTION("IF(B63="""","" "",IMPORTRANGE(B63,""'export'!d1""))")," ")</f>
        <v> </v>
      </c>
      <c r="J63" s="25" t="str">
        <f>IFERROR(__xludf.DUMMYFUNCTION("IF(B63="""","" "",IMPORTRANGE(B63,""'export'!e1""))")," ")</f>
        <v> </v>
      </c>
      <c r="K63" s="25"/>
      <c r="L63" s="21" t="str">
        <f>IFERROR(__xludf.DUMMYFUNCTION("IF(B63="""","" "",IMPORTRANGE(B63,""'export'!f1""))")," ")</f>
        <v> </v>
      </c>
      <c r="M63" s="26" t="str">
        <f>IFERROR(__xludf.DUMMYFUNCTION("IF(B63="""","" "",IMPORTRANGE(B63,""'export'!h3""))")," ")</f>
        <v> </v>
      </c>
      <c r="N63" s="27" t="str">
        <f>IFERROR(__xludf.DUMMYFUNCTION("IF(B63="""","" "",IMPORTRANGE(B63,""'export'!h1""))")," ")</f>
        <v> </v>
      </c>
      <c r="O63" s="28" t="str">
        <f>IFERROR(__xludf.DUMMYFUNCTION("IF(B63="""","" "",IMPORTRANGE(B63,""'export'!h11""))")," ")</f>
        <v> </v>
      </c>
      <c r="P63" s="29" t="str">
        <f>IFERROR(__xludf.DUMMYFUNCTION("IF(B63="""","" "",IMPORTRANGE(B63,""'export'!i1""))")," ")</f>
        <v> </v>
      </c>
      <c r="Q63" s="30" t="str">
        <f>IFERROR(__xludf.DUMMYFUNCTION("IF(B63="""","" "",IMPORTRANGE(B63,""'export'!i13""))")," ")</f>
        <v> </v>
      </c>
      <c r="R63" s="31" t="str">
        <f t="shared" si="2"/>
        <v/>
      </c>
      <c r="S63" s="32" t="str">
        <f>IFERROR(__xludf.DUMMYFUNCTION("IF(B63="""","" "",IMPORTRANGE(B63,""'export'!g1""))")," ")</f>
        <v> </v>
      </c>
    </row>
    <row r="64">
      <c r="A64" s="18"/>
      <c r="B64" s="35"/>
      <c r="C64" s="20" t="str">
        <f>IFERROR(__xludf.DUMMYFUNCTION("IF(B64="""","" "",IMPORTRANGE(B64,""'Export'!m1""))")," ")</f>
        <v> </v>
      </c>
      <c r="D64" s="21" t="str">
        <f t="shared" si="1"/>
        <v> ,  ,  </v>
      </c>
      <c r="E64" s="22" t="str">
        <f>IFERROR(__xludf.DUMMYFUNCTION("IF(B64="""","" "",IMPORTRANGE(B64,""'EXPORT'!L1""))")," ")</f>
        <v> </v>
      </c>
      <c r="F64" s="23" t="str">
        <f>IFERROR(__xludf.DUMMYFUNCTION("IF(B64="""","" "",IMPORTRANGE(B64,""'Export'!a1""))")," ")</f>
        <v> </v>
      </c>
      <c r="G64" s="23" t="str">
        <f>IFERROR(__xludf.DUMMYFUNCTION("IF(B64="""","" "",IMPORTRANGE(B64,""'export'!b1""))")," ")</f>
        <v> </v>
      </c>
      <c r="H64" s="23" t="str">
        <f>IFERROR(__xludf.DUMMYFUNCTION("IF(B64="""","" "",IMPORTRANGE(B64,""'export'!c1""))")," ")</f>
        <v> </v>
      </c>
      <c r="I64" s="24" t="str">
        <f>IFERROR(__xludf.DUMMYFUNCTION("IF(B64="""","" "",IMPORTRANGE(B64,""'export'!d1""))")," ")</f>
        <v> </v>
      </c>
      <c r="J64" s="25" t="str">
        <f>IFERROR(__xludf.DUMMYFUNCTION("IF(B64="""","" "",IMPORTRANGE(B64,""'export'!e1""))")," ")</f>
        <v> </v>
      </c>
      <c r="K64" s="25"/>
      <c r="L64" s="21" t="str">
        <f>IFERROR(__xludf.DUMMYFUNCTION("IF(B64="""","" "",IMPORTRANGE(B64,""'export'!f1""))")," ")</f>
        <v> </v>
      </c>
      <c r="M64" s="26" t="str">
        <f>IFERROR(__xludf.DUMMYFUNCTION("IF(B64="""","" "",IMPORTRANGE(B64,""'export'!h3""))")," ")</f>
        <v> </v>
      </c>
      <c r="N64" s="27" t="str">
        <f>IFERROR(__xludf.DUMMYFUNCTION("IF(B64="""","" "",IMPORTRANGE(B64,""'export'!h1""))")," ")</f>
        <v> </v>
      </c>
      <c r="O64" s="28" t="str">
        <f>IFERROR(__xludf.DUMMYFUNCTION("IF(B64="""","" "",IMPORTRANGE(B64,""'export'!h11""))")," ")</f>
        <v> </v>
      </c>
      <c r="P64" s="29" t="str">
        <f>IFERROR(__xludf.DUMMYFUNCTION("IF(B64="""","" "",IMPORTRANGE(B64,""'export'!i1""))")," ")</f>
        <v> </v>
      </c>
      <c r="Q64" s="30" t="str">
        <f>IFERROR(__xludf.DUMMYFUNCTION("IF(B64="""","" "",IMPORTRANGE(B64,""'export'!i13""))")," ")</f>
        <v> </v>
      </c>
      <c r="R64" s="31" t="str">
        <f t="shared" si="2"/>
        <v/>
      </c>
      <c r="S64" s="32" t="str">
        <f>IFERROR(__xludf.DUMMYFUNCTION("IF(B64="""","" "",IMPORTRANGE(B64,""'export'!g1""))")," ")</f>
        <v> </v>
      </c>
    </row>
    <row r="65">
      <c r="A65" s="18"/>
      <c r="B65" s="35"/>
      <c r="C65" s="20" t="str">
        <f>IFERROR(__xludf.DUMMYFUNCTION("IF(B65="""","" "",IMPORTRANGE(B65,""'Export'!m1""))")," ")</f>
        <v> </v>
      </c>
      <c r="D65" s="21" t="str">
        <f t="shared" si="1"/>
        <v> ,  ,  </v>
      </c>
      <c r="E65" s="22" t="str">
        <f>IFERROR(__xludf.DUMMYFUNCTION("IF(B65="""","" "",IMPORTRANGE(B65,""'EXPORT'!L1""))")," ")</f>
        <v> </v>
      </c>
      <c r="F65" s="23" t="str">
        <f>IFERROR(__xludf.DUMMYFUNCTION("IF(B65="""","" "",IMPORTRANGE(B65,""'Export'!a1""))")," ")</f>
        <v> </v>
      </c>
      <c r="G65" s="23" t="str">
        <f>IFERROR(__xludf.DUMMYFUNCTION("IF(B65="""","" "",IMPORTRANGE(B65,""'export'!b1""))")," ")</f>
        <v> </v>
      </c>
      <c r="H65" s="23" t="str">
        <f>IFERROR(__xludf.DUMMYFUNCTION("IF(B65="""","" "",IMPORTRANGE(B65,""'export'!c1""))")," ")</f>
        <v> </v>
      </c>
      <c r="I65" s="24" t="str">
        <f>IFERROR(__xludf.DUMMYFUNCTION("IF(B65="""","" "",IMPORTRANGE(B65,""'export'!d1""))")," ")</f>
        <v> </v>
      </c>
      <c r="J65" s="25" t="str">
        <f>IFERROR(__xludf.DUMMYFUNCTION("IF(B65="""","" "",IMPORTRANGE(B65,""'export'!e1""))")," ")</f>
        <v> </v>
      </c>
      <c r="K65" s="25"/>
      <c r="L65" s="21" t="str">
        <f>IFERROR(__xludf.DUMMYFUNCTION("IF(B65="""","" "",IMPORTRANGE(B65,""'export'!f1""))")," ")</f>
        <v> </v>
      </c>
      <c r="M65" s="26" t="str">
        <f>IFERROR(__xludf.DUMMYFUNCTION("IF(B65="""","" "",IMPORTRANGE(B65,""'export'!h3""))")," ")</f>
        <v> </v>
      </c>
      <c r="N65" s="27" t="str">
        <f>IFERROR(__xludf.DUMMYFUNCTION("IF(B65="""","" "",IMPORTRANGE(B65,""'export'!h1""))")," ")</f>
        <v> </v>
      </c>
      <c r="O65" s="28" t="str">
        <f>IFERROR(__xludf.DUMMYFUNCTION("IF(B65="""","" "",IMPORTRANGE(B65,""'export'!h11""))")," ")</f>
        <v> </v>
      </c>
      <c r="P65" s="29" t="str">
        <f>IFERROR(__xludf.DUMMYFUNCTION("IF(B65="""","" "",IMPORTRANGE(B65,""'export'!i1""))")," ")</f>
        <v> </v>
      </c>
      <c r="Q65" s="30" t="str">
        <f>IFERROR(__xludf.DUMMYFUNCTION("IF(B65="""","" "",IMPORTRANGE(B65,""'export'!i13""))")," ")</f>
        <v> </v>
      </c>
      <c r="R65" s="31" t="str">
        <f t="shared" si="2"/>
        <v/>
      </c>
      <c r="S65" s="32" t="str">
        <f>IFERROR(__xludf.DUMMYFUNCTION("IF(B65="""","" "",IMPORTRANGE(B65,""'export'!g1""))")," ")</f>
        <v> </v>
      </c>
    </row>
    <row r="66">
      <c r="A66" s="18"/>
      <c r="B66" s="35"/>
      <c r="C66" s="20" t="str">
        <f>IFERROR(__xludf.DUMMYFUNCTION("IF(B66="""","" "",IMPORTRANGE(B66,""'Export'!m1""))")," ")</f>
        <v> </v>
      </c>
      <c r="D66" s="21" t="str">
        <f t="shared" si="1"/>
        <v> ,  ,  </v>
      </c>
      <c r="E66" s="22" t="str">
        <f>IFERROR(__xludf.DUMMYFUNCTION("IF(B66="""","" "",IMPORTRANGE(B66,""'EXPORT'!L1""))")," ")</f>
        <v> </v>
      </c>
      <c r="F66" s="23" t="str">
        <f>IFERROR(__xludf.DUMMYFUNCTION("IF(B66="""","" "",IMPORTRANGE(B66,""'Export'!a1""))")," ")</f>
        <v> </v>
      </c>
      <c r="G66" s="23" t="str">
        <f>IFERROR(__xludf.DUMMYFUNCTION("IF(B66="""","" "",IMPORTRANGE(B66,""'export'!b1""))")," ")</f>
        <v> </v>
      </c>
      <c r="H66" s="23" t="str">
        <f>IFERROR(__xludf.DUMMYFUNCTION("IF(B66="""","" "",IMPORTRANGE(B66,""'export'!c1""))")," ")</f>
        <v> </v>
      </c>
      <c r="I66" s="24" t="str">
        <f>IFERROR(__xludf.DUMMYFUNCTION("IF(B66="""","" "",IMPORTRANGE(B66,""'export'!d1""))")," ")</f>
        <v> </v>
      </c>
      <c r="J66" s="25" t="str">
        <f>IFERROR(__xludf.DUMMYFUNCTION("IF(B66="""","" "",IMPORTRANGE(B66,""'export'!e1""))")," ")</f>
        <v> </v>
      </c>
      <c r="K66" s="25"/>
      <c r="L66" s="21" t="str">
        <f>IFERROR(__xludf.DUMMYFUNCTION("IF(B66="""","" "",IMPORTRANGE(B66,""'export'!f1""))")," ")</f>
        <v> </v>
      </c>
      <c r="M66" s="26" t="str">
        <f>IFERROR(__xludf.DUMMYFUNCTION("IF(B66="""","" "",IMPORTRANGE(B66,""'export'!h3""))")," ")</f>
        <v> </v>
      </c>
      <c r="N66" s="27" t="str">
        <f>IFERROR(__xludf.DUMMYFUNCTION("IF(B66="""","" "",IMPORTRANGE(B66,""'export'!h1""))")," ")</f>
        <v> </v>
      </c>
      <c r="O66" s="28" t="str">
        <f>IFERROR(__xludf.DUMMYFUNCTION("IF(B66="""","" "",IMPORTRANGE(B66,""'export'!h11""))")," ")</f>
        <v> </v>
      </c>
      <c r="P66" s="29" t="str">
        <f>IFERROR(__xludf.DUMMYFUNCTION("IF(B66="""","" "",IMPORTRANGE(B66,""'export'!i1""))")," ")</f>
        <v> </v>
      </c>
      <c r="Q66" s="30" t="str">
        <f>IFERROR(__xludf.DUMMYFUNCTION("IF(B66="""","" "",IMPORTRANGE(B66,""'export'!i13""))")," ")</f>
        <v> </v>
      </c>
      <c r="R66" s="31" t="str">
        <f t="shared" si="2"/>
        <v/>
      </c>
      <c r="S66" s="32" t="str">
        <f>IFERROR(__xludf.DUMMYFUNCTION("IF(B66="""","" "",IMPORTRANGE(B66,""'export'!g1""))")," ")</f>
        <v> </v>
      </c>
    </row>
    <row r="67">
      <c r="A67" s="18"/>
      <c r="B67" s="35"/>
      <c r="C67" s="20" t="str">
        <f>IFERROR(__xludf.DUMMYFUNCTION("IF(B67="""","" "",IMPORTRANGE(B67,""'Export'!m1""))")," ")</f>
        <v> </v>
      </c>
      <c r="D67" s="21" t="str">
        <f t="shared" si="1"/>
        <v> ,  ,  </v>
      </c>
      <c r="E67" s="22" t="str">
        <f>IFERROR(__xludf.DUMMYFUNCTION("IF(B67="""","" "",IMPORTRANGE(B67,""'EXPORT'!L1""))")," ")</f>
        <v> </v>
      </c>
      <c r="F67" s="23" t="str">
        <f>IFERROR(__xludf.DUMMYFUNCTION("IF(B67="""","" "",IMPORTRANGE(B67,""'Export'!a1""))")," ")</f>
        <v> </v>
      </c>
      <c r="G67" s="23" t="str">
        <f>IFERROR(__xludf.DUMMYFUNCTION("IF(B67="""","" "",IMPORTRANGE(B67,""'export'!b1""))")," ")</f>
        <v> </v>
      </c>
      <c r="H67" s="23" t="str">
        <f>IFERROR(__xludf.DUMMYFUNCTION("IF(B67="""","" "",IMPORTRANGE(B67,""'export'!c1""))")," ")</f>
        <v> </v>
      </c>
      <c r="I67" s="24" t="str">
        <f>IFERROR(__xludf.DUMMYFUNCTION("IF(B67="""","" "",IMPORTRANGE(B67,""'export'!d1""))")," ")</f>
        <v> </v>
      </c>
      <c r="J67" s="25" t="str">
        <f>IFERROR(__xludf.DUMMYFUNCTION("IF(B67="""","" "",IMPORTRANGE(B67,""'export'!e1""))")," ")</f>
        <v> </v>
      </c>
      <c r="K67" s="25"/>
      <c r="L67" s="21" t="str">
        <f>IFERROR(__xludf.DUMMYFUNCTION("IF(B67="""","" "",IMPORTRANGE(B67,""'export'!f1""))")," ")</f>
        <v> </v>
      </c>
      <c r="M67" s="26" t="str">
        <f>IFERROR(__xludf.DUMMYFUNCTION("IF(B67="""","" "",IMPORTRANGE(B67,""'export'!h3""))")," ")</f>
        <v> </v>
      </c>
      <c r="N67" s="27" t="str">
        <f>IFERROR(__xludf.DUMMYFUNCTION("IF(B67="""","" "",IMPORTRANGE(B67,""'export'!h1""))")," ")</f>
        <v> </v>
      </c>
      <c r="O67" s="28" t="str">
        <f>IFERROR(__xludf.DUMMYFUNCTION("IF(B67="""","" "",IMPORTRANGE(B67,""'export'!h11""))")," ")</f>
        <v> </v>
      </c>
      <c r="P67" s="29" t="str">
        <f>IFERROR(__xludf.DUMMYFUNCTION("IF(B67="""","" "",IMPORTRANGE(B67,""'export'!i1""))")," ")</f>
        <v> </v>
      </c>
      <c r="Q67" s="30" t="str">
        <f>IFERROR(__xludf.DUMMYFUNCTION("IF(B67="""","" "",IMPORTRANGE(B67,""'export'!i13""))")," ")</f>
        <v> </v>
      </c>
      <c r="R67" s="31" t="str">
        <f t="shared" si="2"/>
        <v/>
      </c>
      <c r="S67" s="32" t="str">
        <f>IFERROR(__xludf.DUMMYFUNCTION("IF(B67="""","" "",IMPORTRANGE(B67,""'export'!g1""))")," ")</f>
        <v> </v>
      </c>
    </row>
    <row r="68">
      <c r="A68" s="18"/>
      <c r="B68" s="35"/>
      <c r="C68" s="20" t="str">
        <f>IFERROR(__xludf.DUMMYFUNCTION("IF(B68="""","" "",IMPORTRANGE(B68,""'Export'!m1""))")," ")</f>
        <v> </v>
      </c>
      <c r="D68" s="21" t="str">
        <f t="shared" si="1"/>
        <v> ,  ,  </v>
      </c>
      <c r="E68" s="22" t="str">
        <f>IFERROR(__xludf.DUMMYFUNCTION("IF(B68="""","" "",IMPORTRANGE(B68,""'EXPORT'!L1""))")," ")</f>
        <v> </v>
      </c>
      <c r="F68" s="23" t="str">
        <f>IFERROR(__xludf.DUMMYFUNCTION("IF(B68="""","" "",IMPORTRANGE(B68,""'Export'!a1""))")," ")</f>
        <v> </v>
      </c>
      <c r="G68" s="23" t="str">
        <f>IFERROR(__xludf.DUMMYFUNCTION("IF(B68="""","" "",IMPORTRANGE(B68,""'export'!b1""))")," ")</f>
        <v> </v>
      </c>
      <c r="H68" s="23" t="str">
        <f>IFERROR(__xludf.DUMMYFUNCTION("IF(B68="""","" "",IMPORTRANGE(B68,""'export'!c1""))")," ")</f>
        <v> </v>
      </c>
      <c r="I68" s="24" t="str">
        <f>IFERROR(__xludf.DUMMYFUNCTION("IF(B68="""","" "",IMPORTRANGE(B68,""'export'!d1""))")," ")</f>
        <v> </v>
      </c>
      <c r="J68" s="25" t="str">
        <f>IFERROR(__xludf.DUMMYFUNCTION("IF(B68="""","" "",IMPORTRANGE(B68,""'export'!e1""))")," ")</f>
        <v> </v>
      </c>
      <c r="K68" s="25"/>
      <c r="L68" s="21" t="str">
        <f>IFERROR(__xludf.DUMMYFUNCTION("IF(B68="""","" "",IMPORTRANGE(B68,""'export'!f1""))")," ")</f>
        <v> </v>
      </c>
      <c r="M68" s="26" t="str">
        <f>IFERROR(__xludf.DUMMYFUNCTION("IF(B68="""","" "",IMPORTRANGE(B68,""'export'!h3""))")," ")</f>
        <v> </v>
      </c>
      <c r="N68" s="27" t="str">
        <f>IFERROR(__xludf.DUMMYFUNCTION("IF(B68="""","" "",IMPORTRANGE(B68,""'export'!h1""))")," ")</f>
        <v> </v>
      </c>
      <c r="O68" s="28" t="str">
        <f>IFERROR(__xludf.DUMMYFUNCTION("IF(B68="""","" "",IMPORTRANGE(B68,""'export'!h11""))")," ")</f>
        <v> </v>
      </c>
      <c r="P68" s="29" t="str">
        <f>IFERROR(__xludf.DUMMYFUNCTION("IF(B68="""","" "",IMPORTRANGE(B68,""'export'!i1""))")," ")</f>
        <v> </v>
      </c>
      <c r="Q68" s="30" t="str">
        <f>IFERROR(__xludf.DUMMYFUNCTION("IF(B68="""","" "",IMPORTRANGE(B68,""'export'!i13""))")," ")</f>
        <v> </v>
      </c>
      <c r="R68" s="31" t="str">
        <f t="shared" si="2"/>
        <v/>
      </c>
      <c r="S68" s="32" t="str">
        <f>IFERROR(__xludf.DUMMYFUNCTION("IF(B68="""","" "",IMPORTRANGE(B68,""'export'!g1""))")," ")</f>
        <v> </v>
      </c>
    </row>
    <row r="69">
      <c r="A69" s="18"/>
      <c r="B69" s="35"/>
      <c r="C69" s="20" t="str">
        <f>IFERROR(__xludf.DUMMYFUNCTION("IF(B69="""","" "",IMPORTRANGE(B69,""'Export'!m1""))")," ")</f>
        <v> </v>
      </c>
      <c r="D69" s="21" t="str">
        <f t="shared" si="1"/>
        <v> ,  ,  </v>
      </c>
      <c r="E69" s="22" t="str">
        <f>IFERROR(__xludf.DUMMYFUNCTION("IF(B69="""","" "",IMPORTRANGE(B69,""'EXPORT'!L1""))")," ")</f>
        <v> </v>
      </c>
      <c r="F69" s="23" t="str">
        <f>IFERROR(__xludf.DUMMYFUNCTION("IF(B69="""","" "",IMPORTRANGE(B69,""'Export'!a1""))")," ")</f>
        <v> </v>
      </c>
      <c r="G69" s="23" t="str">
        <f>IFERROR(__xludf.DUMMYFUNCTION("IF(B69="""","" "",IMPORTRANGE(B69,""'export'!b1""))")," ")</f>
        <v> </v>
      </c>
      <c r="H69" s="23" t="str">
        <f>IFERROR(__xludf.DUMMYFUNCTION("IF(B69="""","" "",IMPORTRANGE(B69,""'export'!c1""))")," ")</f>
        <v> </v>
      </c>
      <c r="I69" s="24" t="str">
        <f>IFERROR(__xludf.DUMMYFUNCTION("IF(B69="""","" "",IMPORTRANGE(B69,""'export'!d1""))")," ")</f>
        <v> </v>
      </c>
      <c r="J69" s="25" t="str">
        <f>IFERROR(__xludf.DUMMYFUNCTION("IF(B69="""","" "",IMPORTRANGE(B69,""'export'!e1""))")," ")</f>
        <v> </v>
      </c>
      <c r="K69" s="25"/>
      <c r="L69" s="21" t="str">
        <f>IFERROR(__xludf.DUMMYFUNCTION("IF(B69="""","" "",IMPORTRANGE(B69,""'export'!f1""))")," ")</f>
        <v> </v>
      </c>
      <c r="M69" s="26" t="str">
        <f>IFERROR(__xludf.DUMMYFUNCTION("IF(B69="""","" "",IMPORTRANGE(B69,""'export'!h3""))")," ")</f>
        <v> </v>
      </c>
      <c r="N69" s="27" t="str">
        <f>IFERROR(__xludf.DUMMYFUNCTION("IF(B69="""","" "",IMPORTRANGE(B69,""'export'!h1""))")," ")</f>
        <v> </v>
      </c>
      <c r="O69" s="28" t="str">
        <f>IFERROR(__xludf.DUMMYFUNCTION("IF(B69="""","" "",IMPORTRANGE(B69,""'export'!h11""))")," ")</f>
        <v> </v>
      </c>
      <c r="P69" s="29" t="str">
        <f>IFERROR(__xludf.DUMMYFUNCTION("IF(B69="""","" "",IMPORTRANGE(B69,""'export'!i1""))")," ")</f>
        <v> </v>
      </c>
      <c r="Q69" s="30" t="str">
        <f>IFERROR(__xludf.DUMMYFUNCTION("IF(B69="""","" "",IMPORTRANGE(B69,""'export'!i13""))")," ")</f>
        <v> </v>
      </c>
      <c r="R69" s="31" t="str">
        <f t="shared" si="2"/>
        <v/>
      </c>
      <c r="S69" s="32" t="str">
        <f>IFERROR(__xludf.DUMMYFUNCTION("IF(B69="""","" "",IMPORTRANGE(B69,""'export'!g1""))")," ")</f>
        <v> </v>
      </c>
    </row>
    <row r="70">
      <c r="A70" s="18"/>
      <c r="B70" s="35"/>
      <c r="C70" s="20" t="str">
        <f>IFERROR(__xludf.DUMMYFUNCTION("IF(B70="""","" "",IMPORTRANGE(B70,""'Export'!m1""))")," ")</f>
        <v> </v>
      </c>
      <c r="D70" s="21" t="str">
        <f t="shared" si="1"/>
        <v> ,  ,  </v>
      </c>
      <c r="E70" s="22" t="str">
        <f>IFERROR(__xludf.DUMMYFUNCTION("IF(B70="""","" "",IMPORTRANGE(B70,""'EXPORT'!L1""))")," ")</f>
        <v> </v>
      </c>
      <c r="F70" s="23" t="str">
        <f>IFERROR(__xludf.DUMMYFUNCTION("IF(B70="""","" "",IMPORTRANGE(B70,""'Export'!a1""))")," ")</f>
        <v> </v>
      </c>
      <c r="G70" s="23" t="str">
        <f>IFERROR(__xludf.DUMMYFUNCTION("IF(B70="""","" "",IMPORTRANGE(B70,""'export'!b1""))")," ")</f>
        <v> </v>
      </c>
      <c r="H70" s="23" t="str">
        <f>IFERROR(__xludf.DUMMYFUNCTION("IF(B70="""","" "",IMPORTRANGE(B70,""'export'!c1""))")," ")</f>
        <v> </v>
      </c>
      <c r="I70" s="24" t="str">
        <f>IFERROR(__xludf.DUMMYFUNCTION("IF(B70="""","" "",IMPORTRANGE(B70,""'export'!d1""))")," ")</f>
        <v> </v>
      </c>
      <c r="J70" s="25" t="str">
        <f>IFERROR(__xludf.DUMMYFUNCTION("IF(B70="""","" "",IMPORTRANGE(B70,""'export'!e1""))")," ")</f>
        <v> </v>
      </c>
      <c r="K70" s="25"/>
      <c r="L70" s="21" t="str">
        <f>IFERROR(__xludf.DUMMYFUNCTION("IF(B70="""","" "",IMPORTRANGE(B70,""'export'!f1""))")," ")</f>
        <v> </v>
      </c>
      <c r="M70" s="26" t="str">
        <f>IFERROR(__xludf.DUMMYFUNCTION("IF(B70="""","" "",IMPORTRANGE(B70,""'export'!h3""))")," ")</f>
        <v> </v>
      </c>
      <c r="N70" s="27" t="str">
        <f>IFERROR(__xludf.DUMMYFUNCTION("IF(B70="""","" "",IMPORTRANGE(B70,""'export'!h1""))")," ")</f>
        <v> </v>
      </c>
      <c r="O70" s="28" t="str">
        <f>IFERROR(__xludf.DUMMYFUNCTION("IF(B70="""","" "",IMPORTRANGE(B70,""'export'!h11""))")," ")</f>
        <v> </v>
      </c>
      <c r="P70" s="29" t="str">
        <f>IFERROR(__xludf.DUMMYFUNCTION("IF(B70="""","" "",IMPORTRANGE(B70,""'export'!i1""))")," ")</f>
        <v> </v>
      </c>
      <c r="Q70" s="30" t="str">
        <f>IFERROR(__xludf.DUMMYFUNCTION("IF(B70="""","" "",IMPORTRANGE(B70,""'export'!i13""))")," ")</f>
        <v> </v>
      </c>
      <c r="R70" s="31" t="str">
        <f t="shared" si="2"/>
        <v/>
      </c>
      <c r="S70" s="32" t="str">
        <f>IFERROR(__xludf.DUMMYFUNCTION("IF(B70="""","" "",IMPORTRANGE(B70,""'export'!g1""))")," ")</f>
        <v> </v>
      </c>
    </row>
    <row r="71">
      <c r="A71" s="18"/>
      <c r="B71" s="35"/>
      <c r="C71" s="20" t="str">
        <f>IFERROR(__xludf.DUMMYFUNCTION("IF(B71="""","" "",IMPORTRANGE(B71,""'Export'!m1""))")," ")</f>
        <v> </v>
      </c>
      <c r="D71" s="21" t="str">
        <f t="shared" si="1"/>
        <v> ,  ,  </v>
      </c>
      <c r="E71" s="22" t="str">
        <f>IFERROR(__xludf.DUMMYFUNCTION("IF(B71="""","" "",IMPORTRANGE(B71,""'EXPORT'!L1""))")," ")</f>
        <v> </v>
      </c>
      <c r="F71" s="23" t="str">
        <f>IFERROR(__xludf.DUMMYFUNCTION("IF(B71="""","" "",IMPORTRANGE(B71,""'Export'!a1""))")," ")</f>
        <v> </v>
      </c>
      <c r="G71" s="23" t="str">
        <f>IFERROR(__xludf.DUMMYFUNCTION("IF(B71="""","" "",IMPORTRANGE(B71,""'export'!b1""))")," ")</f>
        <v> </v>
      </c>
      <c r="H71" s="23" t="str">
        <f>IFERROR(__xludf.DUMMYFUNCTION("IF(B71="""","" "",IMPORTRANGE(B71,""'export'!c1""))")," ")</f>
        <v> </v>
      </c>
      <c r="I71" s="24" t="str">
        <f>IFERROR(__xludf.DUMMYFUNCTION("IF(B71="""","" "",IMPORTRANGE(B71,""'export'!d1""))")," ")</f>
        <v> </v>
      </c>
      <c r="J71" s="25" t="str">
        <f>IFERROR(__xludf.DUMMYFUNCTION("IF(B71="""","" "",IMPORTRANGE(B71,""'export'!e1""))")," ")</f>
        <v> </v>
      </c>
      <c r="K71" s="25"/>
      <c r="L71" s="21" t="str">
        <f>IFERROR(__xludf.DUMMYFUNCTION("IF(B71="""","" "",IMPORTRANGE(B71,""'export'!f1""))")," ")</f>
        <v> </v>
      </c>
      <c r="M71" s="26" t="str">
        <f>IFERROR(__xludf.DUMMYFUNCTION("IF(B71="""","" "",IMPORTRANGE(B71,""'export'!h3""))")," ")</f>
        <v> </v>
      </c>
      <c r="N71" s="27" t="str">
        <f>IFERROR(__xludf.DUMMYFUNCTION("IF(B71="""","" "",IMPORTRANGE(B71,""'export'!h1""))")," ")</f>
        <v> </v>
      </c>
      <c r="O71" s="28" t="str">
        <f>IFERROR(__xludf.DUMMYFUNCTION("IF(B71="""","" "",IMPORTRANGE(B71,""'export'!h11""))")," ")</f>
        <v> </v>
      </c>
      <c r="P71" s="29" t="str">
        <f>IFERROR(__xludf.DUMMYFUNCTION("IF(B71="""","" "",IMPORTRANGE(B71,""'export'!i1""))")," ")</f>
        <v> </v>
      </c>
      <c r="Q71" s="30" t="str">
        <f>IFERROR(__xludf.DUMMYFUNCTION("IF(B71="""","" "",IMPORTRANGE(B71,""'export'!i13""))")," ")</f>
        <v> </v>
      </c>
      <c r="R71" s="31" t="str">
        <f t="shared" si="2"/>
        <v/>
      </c>
      <c r="S71" s="32" t="str">
        <f>IFERROR(__xludf.DUMMYFUNCTION("IF(B71="""","" "",IMPORTRANGE(B71,""'export'!g1""))")," ")</f>
        <v> </v>
      </c>
    </row>
    <row r="72">
      <c r="A72" s="18"/>
      <c r="B72" s="35"/>
      <c r="C72" s="20" t="str">
        <f>IFERROR(__xludf.DUMMYFUNCTION("IF(B72="""","" "",IMPORTRANGE(B72,""'Export'!m1""))")," ")</f>
        <v> </v>
      </c>
      <c r="D72" s="21" t="str">
        <f t="shared" si="1"/>
        <v> ,  ,  </v>
      </c>
      <c r="E72" s="22" t="str">
        <f>IFERROR(__xludf.DUMMYFUNCTION("IF(B72="""","" "",IMPORTRANGE(B72,""'EXPORT'!L1""))")," ")</f>
        <v> </v>
      </c>
      <c r="F72" s="23" t="str">
        <f>IFERROR(__xludf.DUMMYFUNCTION("IF(B72="""","" "",IMPORTRANGE(B72,""'Export'!a1""))")," ")</f>
        <v> </v>
      </c>
      <c r="G72" s="23" t="str">
        <f>IFERROR(__xludf.DUMMYFUNCTION("IF(B72="""","" "",IMPORTRANGE(B72,""'export'!b1""))")," ")</f>
        <v> </v>
      </c>
      <c r="H72" s="23" t="str">
        <f>IFERROR(__xludf.DUMMYFUNCTION("IF(B72="""","" "",IMPORTRANGE(B72,""'export'!c1""))")," ")</f>
        <v> </v>
      </c>
      <c r="I72" s="24" t="str">
        <f>IFERROR(__xludf.DUMMYFUNCTION("IF(B72="""","" "",IMPORTRANGE(B72,""'export'!d1""))")," ")</f>
        <v> </v>
      </c>
      <c r="J72" s="25" t="str">
        <f>IFERROR(__xludf.DUMMYFUNCTION("IF(B72="""","" "",IMPORTRANGE(B72,""'export'!e1""))")," ")</f>
        <v> </v>
      </c>
      <c r="K72" s="25"/>
      <c r="L72" s="21" t="str">
        <f>IFERROR(__xludf.DUMMYFUNCTION("IF(B72="""","" "",IMPORTRANGE(B72,""'export'!f1""))")," ")</f>
        <v> </v>
      </c>
      <c r="M72" s="26" t="str">
        <f>IFERROR(__xludf.DUMMYFUNCTION("IF(B72="""","" "",IMPORTRANGE(B72,""'export'!h3""))")," ")</f>
        <v> </v>
      </c>
      <c r="N72" s="27" t="str">
        <f>IFERROR(__xludf.DUMMYFUNCTION("IF(B72="""","" "",IMPORTRANGE(B72,""'export'!h1""))")," ")</f>
        <v> </v>
      </c>
      <c r="O72" s="28" t="str">
        <f>IFERROR(__xludf.DUMMYFUNCTION("IF(B72="""","" "",IMPORTRANGE(B72,""'export'!h11""))")," ")</f>
        <v> </v>
      </c>
      <c r="P72" s="29" t="str">
        <f>IFERROR(__xludf.DUMMYFUNCTION("IF(B72="""","" "",IMPORTRANGE(B72,""'export'!i1""))")," ")</f>
        <v> </v>
      </c>
      <c r="Q72" s="30" t="str">
        <f>IFERROR(__xludf.DUMMYFUNCTION("IF(B72="""","" "",IMPORTRANGE(B72,""'export'!i13""))")," ")</f>
        <v> </v>
      </c>
      <c r="R72" s="31" t="str">
        <f t="shared" si="2"/>
        <v/>
      </c>
      <c r="S72" s="32" t="str">
        <f>IFERROR(__xludf.DUMMYFUNCTION("IF(B72="""","" "",IMPORTRANGE(B72,""'export'!g1""))")," ")</f>
        <v> </v>
      </c>
    </row>
    <row r="73">
      <c r="A73" s="18"/>
      <c r="B73" s="35"/>
      <c r="C73" s="20" t="str">
        <f>IFERROR(__xludf.DUMMYFUNCTION("IF(B73="""","" "",IMPORTRANGE(B73,""'Export'!m1""))")," ")</f>
        <v> </v>
      </c>
      <c r="D73" s="21" t="str">
        <f t="shared" si="1"/>
        <v> ,  ,  </v>
      </c>
      <c r="E73" s="22" t="str">
        <f>IFERROR(__xludf.DUMMYFUNCTION("IF(B73="""","" "",IMPORTRANGE(B73,""'EXPORT'!L1""))")," ")</f>
        <v> </v>
      </c>
      <c r="F73" s="23" t="str">
        <f>IFERROR(__xludf.DUMMYFUNCTION("IF(B73="""","" "",IMPORTRANGE(B73,""'Export'!a1""))")," ")</f>
        <v> </v>
      </c>
      <c r="G73" s="23" t="str">
        <f>IFERROR(__xludf.DUMMYFUNCTION("IF(B73="""","" "",IMPORTRANGE(B73,""'export'!b1""))")," ")</f>
        <v> </v>
      </c>
      <c r="H73" s="23" t="str">
        <f>IFERROR(__xludf.DUMMYFUNCTION("IF(B73="""","" "",IMPORTRANGE(B73,""'export'!c1""))")," ")</f>
        <v> </v>
      </c>
      <c r="I73" s="24" t="str">
        <f>IFERROR(__xludf.DUMMYFUNCTION("IF(B73="""","" "",IMPORTRANGE(B73,""'export'!d1""))")," ")</f>
        <v> </v>
      </c>
      <c r="J73" s="25" t="str">
        <f>IFERROR(__xludf.DUMMYFUNCTION("IF(B73="""","" "",IMPORTRANGE(B73,""'export'!e1""))")," ")</f>
        <v> </v>
      </c>
      <c r="K73" s="25"/>
      <c r="L73" s="21" t="str">
        <f>IFERROR(__xludf.DUMMYFUNCTION("IF(B73="""","" "",IMPORTRANGE(B73,""'export'!f1""))")," ")</f>
        <v> </v>
      </c>
      <c r="M73" s="26" t="str">
        <f>IFERROR(__xludf.DUMMYFUNCTION("IF(B73="""","" "",IMPORTRANGE(B73,""'export'!h3""))")," ")</f>
        <v> </v>
      </c>
      <c r="N73" s="27" t="str">
        <f>IFERROR(__xludf.DUMMYFUNCTION("IF(B73="""","" "",IMPORTRANGE(B73,""'export'!h1""))")," ")</f>
        <v> </v>
      </c>
      <c r="O73" s="28" t="str">
        <f>IFERROR(__xludf.DUMMYFUNCTION("IF(B73="""","" "",IMPORTRANGE(B73,""'export'!h11""))")," ")</f>
        <v> </v>
      </c>
      <c r="P73" s="29" t="str">
        <f>IFERROR(__xludf.DUMMYFUNCTION("IF(B73="""","" "",IMPORTRANGE(B73,""'export'!i1""))")," ")</f>
        <v> </v>
      </c>
      <c r="Q73" s="30" t="str">
        <f>IFERROR(__xludf.DUMMYFUNCTION("IF(B73="""","" "",IMPORTRANGE(B73,""'export'!i13""))")," ")</f>
        <v> </v>
      </c>
      <c r="R73" s="31" t="str">
        <f t="shared" si="2"/>
        <v/>
      </c>
      <c r="S73" s="32" t="str">
        <f>IFERROR(__xludf.DUMMYFUNCTION("IF(B73="""","" "",IMPORTRANGE(B73,""'export'!g1""))")," ")</f>
        <v> </v>
      </c>
    </row>
    <row r="74">
      <c r="A74" s="18"/>
      <c r="B74" s="35"/>
      <c r="C74" s="20" t="str">
        <f>IFERROR(__xludf.DUMMYFUNCTION("IF(B74="""","" "",IMPORTRANGE(B74,""'Export'!m1""))")," ")</f>
        <v> </v>
      </c>
      <c r="D74" s="21" t="str">
        <f t="shared" si="1"/>
        <v> ,  ,  </v>
      </c>
      <c r="E74" s="22" t="str">
        <f>IFERROR(__xludf.DUMMYFUNCTION("IF(B74="""","" "",IMPORTRANGE(B74,""'EXPORT'!L1""))")," ")</f>
        <v> </v>
      </c>
      <c r="F74" s="23" t="str">
        <f>IFERROR(__xludf.DUMMYFUNCTION("IF(B74="""","" "",IMPORTRANGE(B74,""'Export'!a1""))")," ")</f>
        <v> </v>
      </c>
      <c r="G74" s="23" t="str">
        <f>IFERROR(__xludf.DUMMYFUNCTION("IF(B74="""","" "",IMPORTRANGE(B74,""'export'!b1""))")," ")</f>
        <v> </v>
      </c>
      <c r="H74" s="23" t="str">
        <f>IFERROR(__xludf.DUMMYFUNCTION("IF(B74="""","" "",IMPORTRANGE(B74,""'export'!c1""))")," ")</f>
        <v> </v>
      </c>
      <c r="I74" s="24" t="str">
        <f>IFERROR(__xludf.DUMMYFUNCTION("IF(B74="""","" "",IMPORTRANGE(B74,""'export'!d1""))")," ")</f>
        <v> </v>
      </c>
      <c r="J74" s="25" t="str">
        <f>IFERROR(__xludf.DUMMYFUNCTION("IF(B74="""","" "",IMPORTRANGE(B74,""'export'!e1""))")," ")</f>
        <v> </v>
      </c>
      <c r="K74" s="25"/>
      <c r="L74" s="21" t="str">
        <f>IFERROR(__xludf.DUMMYFUNCTION("IF(B74="""","" "",IMPORTRANGE(B74,""'export'!f1""))")," ")</f>
        <v> </v>
      </c>
      <c r="M74" s="26" t="str">
        <f>IFERROR(__xludf.DUMMYFUNCTION("IF(B74="""","" "",IMPORTRANGE(B74,""'export'!h3""))")," ")</f>
        <v> </v>
      </c>
      <c r="N74" s="27" t="str">
        <f>IFERROR(__xludf.DUMMYFUNCTION("IF(B74="""","" "",IMPORTRANGE(B74,""'export'!h1""))")," ")</f>
        <v> </v>
      </c>
      <c r="O74" s="28" t="str">
        <f>IFERROR(__xludf.DUMMYFUNCTION("IF(B74="""","" "",IMPORTRANGE(B74,""'export'!h11""))")," ")</f>
        <v> </v>
      </c>
      <c r="P74" s="29" t="str">
        <f>IFERROR(__xludf.DUMMYFUNCTION("IF(B74="""","" "",IMPORTRANGE(B74,""'export'!i1""))")," ")</f>
        <v> </v>
      </c>
      <c r="Q74" s="30" t="str">
        <f>IFERROR(__xludf.DUMMYFUNCTION("IF(B74="""","" "",IMPORTRANGE(B74,""'export'!i13""))")," ")</f>
        <v> </v>
      </c>
      <c r="R74" s="31" t="str">
        <f t="shared" si="2"/>
        <v/>
      </c>
      <c r="S74" s="32" t="str">
        <f>IFERROR(__xludf.DUMMYFUNCTION("IF(B74="""","" "",IMPORTRANGE(B74,""'export'!g1""))")," ")</f>
        <v> </v>
      </c>
    </row>
    <row r="75">
      <c r="A75" s="18"/>
      <c r="B75" s="35"/>
      <c r="C75" s="20" t="str">
        <f>IFERROR(__xludf.DUMMYFUNCTION("IF(B75="""","" "",IMPORTRANGE(B75,""'Export'!m1""))")," ")</f>
        <v> </v>
      </c>
      <c r="D75" s="21" t="str">
        <f t="shared" si="1"/>
        <v> ,  ,  </v>
      </c>
      <c r="E75" s="22" t="str">
        <f>IFERROR(__xludf.DUMMYFUNCTION("IF(B75="""","" "",IMPORTRANGE(B75,""'EXPORT'!L1""))")," ")</f>
        <v> </v>
      </c>
      <c r="F75" s="23" t="str">
        <f>IFERROR(__xludf.DUMMYFUNCTION("IF(B75="""","" "",IMPORTRANGE(B75,""'Export'!a1""))")," ")</f>
        <v> </v>
      </c>
      <c r="G75" s="23" t="str">
        <f>IFERROR(__xludf.DUMMYFUNCTION("IF(B75="""","" "",IMPORTRANGE(B75,""'export'!b1""))")," ")</f>
        <v> </v>
      </c>
      <c r="H75" s="23" t="str">
        <f>IFERROR(__xludf.DUMMYFUNCTION("IF(B75="""","" "",IMPORTRANGE(B75,""'export'!c1""))")," ")</f>
        <v> </v>
      </c>
      <c r="I75" s="24" t="str">
        <f>IFERROR(__xludf.DUMMYFUNCTION("IF(B75="""","" "",IMPORTRANGE(B75,""'export'!d1""))")," ")</f>
        <v> </v>
      </c>
      <c r="J75" s="25" t="str">
        <f>IFERROR(__xludf.DUMMYFUNCTION("IF(B75="""","" "",IMPORTRANGE(B75,""'export'!e1""))")," ")</f>
        <v> </v>
      </c>
      <c r="K75" s="25"/>
      <c r="L75" s="21" t="str">
        <f>IFERROR(__xludf.DUMMYFUNCTION("IF(B75="""","" "",IMPORTRANGE(B75,""'export'!f1""))")," ")</f>
        <v> </v>
      </c>
      <c r="M75" s="26" t="str">
        <f>IFERROR(__xludf.DUMMYFUNCTION("IF(B75="""","" "",IMPORTRANGE(B75,""'export'!h3""))")," ")</f>
        <v> </v>
      </c>
      <c r="N75" s="27" t="str">
        <f>IFERROR(__xludf.DUMMYFUNCTION("IF(B75="""","" "",IMPORTRANGE(B75,""'export'!h1""))")," ")</f>
        <v> </v>
      </c>
      <c r="O75" s="28" t="str">
        <f>IFERROR(__xludf.DUMMYFUNCTION("IF(B75="""","" "",IMPORTRANGE(B75,""'export'!h11""))")," ")</f>
        <v> </v>
      </c>
      <c r="P75" s="29" t="str">
        <f>IFERROR(__xludf.DUMMYFUNCTION("IF(B75="""","" "",IMPORTRANGE(B75,""'export'!i1""))")," ")</f>
        <v> </v>
      </c>
      <c r="Q75" s="30" t="str">
        <f>IFERROR(__xludf.DUMMYFUNCTION("IF(B75="""","" "",IMPORTRANGE(B75,""'export'!i13""))")," ")</f>
        <v> </v>
      </c>
      <c r="R75" s="31" t="str">
        <f t="shared" si="2"/>
        <v/>
      </c>
      <c r="S75" s="32" t="str">
        <f>IFERROR(__xludf.DUMMYFUNCTION("IF(B75="""","" "",IMPORTRANGE(B75,""'export'!g1""))")," ")</f>
        <v> </v>
      </c>
    </row>
    <row r="76">
      <c r="A76" s="18"/>
      <c r="B76" s="35"/>
      <c r="C76" s="20" t="str">
        <f>IFERROR(__xludf.DUMMYFUNCTION("IF(B76="""","" "",IMPORTRANGE(B76,""'Export'!m1""))")," ")</f>
        <v> </v>
      </c>
      <c r="D76" s="21" t="str">
        <f t="shared" si="1"/>
        <v> ,  ,  </v>
      </c>
      <c r="E76" s="22" t="str">
        <f>IFERROR(__xludf.DUMMYFUNCTION("IF(B76="""","" "",IMPORTRANGE(B76,""'EXPORT'!L1""))")," ")</f>
        <v> </v>
      </c>
      <c r="F76" s="23" t="str">
        <f>IFERROR(__xludf.DUMMYFUNCTION("IF(B76="""","" "",IMPORTRANGE(B76,""'Export'!a1""))")," ")</f>
        <v> </v>
      </c>
      <c r="G76" s="23" t="str">
        <f>IFERROR(__xludf.DUMMYFUNCTION("IF(B76="""","" "",IMPORTRANGE(B76,""'export'!b1""))")," ")</f>
        <v> </v>
      </c>
      <c r="H76" s="23" t="str">
        <f>IFERROR(__xludf.DUMMYFUNCTION("IF(B76="""","" "",IMPORTRANGE(B76,""'export'!c1""))")," ")</f>
        <v> </v>
      </c>
      <c r="I76" s="24" t="str">
        <f>IFERROR(__xludf.DUMMYFUNCTION("IF(B76="""","" "",IMPORTRANGE(B76,""'export'!d1""))")," ")</f>
        <v> </v>
      </c>
      <c r="J76" s="25" t="str">
        <f>IFERROR(__xludf.DUMMYFUNCTION("IF(B76="""","" "",IMPORTRANGE(B76,""'export'!e1""))")," ")</f>
        <v> </v>
      </c>
      <c r="K76" s="25"/>
      <c r="L76" s="21" t="str">
        <f>IFERROR(__xludf.DUMMYFUNCTION("IF(B76="""","" "",IMPORTRANGE(B76,""'export'!f1""))")," ")</f>
        <v> </v>
      </c>
      <c r="M76" s="26" t="str">
        <f>IFERROR(__xludf.DUMMYFUNCTION("IF(B76="""","" "",IMPORTRANGE(B76,""'export'!h3""))")," ")</f>
        <v> </v>
      </c>
      <c r="N76" s="27" t="str">
        <f>IFERROR(__xludf.DUMMYFUNCTION("IF(B76="""","" "",IMPORTRANGE(B76,""'export'!h1""))")," ")</f>
        <v> </v>
      </c>
      <c r="O76" s="28" t="str">
        <f>IFERROR(__xludf.DUMMYFUNCTION("IF(B76="""","" "",IMPORTRANGE(B76,""'export'!h11""))")," ")</f>
        <v> </v>
      </c>
      <c r="P76" s="29" t="str">
        <f>IFERROR(__xludf.DUMMYFUNCTION("IF(B76="""","" "",IMPORTRANGE(B76,""'export'!i1""))")," ")</f>
        <v> </v>
      </c>
      <c r="Q76" s="30" t="str">
        <f>IFERROR(__xludf.DUMMYFUNCTION("IF(B76="""","" "",IMPORTRANGE(B76,""'export'!i13""))")," ")</f>
        <v> </v>
      </c>
      <c r="R76" s="31" t="str">
        <f t="shared" si="2"/>
        <v/>
      </c>
      <c r="S76" s="32" t="str">
        <f>IFERROR(__xludf.DUMMYFUNCTION("IF(B76="""","" "",IMPORTRANGE(B76,""'export'!g1""))")," ")</f>
        <v> </v>
      </c>
    </row>
    <row r="77">
      <c r="A77" s="18"/>
      <c r="B77" s="35"/>
      <c r="C77" s="20" t="str">
        <f>IFERROR(__xludf.DUMMYFUNCTION("IF(B77="""","" "",IMPORTRANGE(B77,""'Export'!m1""))")," ")</f>
        <v> </v>
      </c>
      <c r="D77" s="21" t="str">
        <f t="shared" si="1"/>
        <v> ,  ,  </v>
      </c>
      <c r="E77" s="22" t="str">
        <f>IFERROR(__xludf.DUMMYFUNCTION("IF(B77="""","" "",IMPORTRANGE(B77,""'EXPORT'!L1""))")," ")</f>
        <v> </v>
      </c>
      <c r="F77" s="23" t="str">
        <f>IFERROR(__xludf.DUMMYFUNCTION("IF(B77="""","" "",IMPORTRANGE(B77,""'Export'!a1""))")," ")</f>
        <v> </v>
      </c>
      <c r="G77" s="23" t="str">
        <f>IFERROR(__xludf.DUMMYFUNCTION("IF(B77="""","" "",IMPORTRANGE(B77,""'export'!b1""))")," ")</f>
        <v> </v>
      </c>
      <c r="H77" s="23" t="str">
        <f>IFERROR(__xludf.DUMMYFUNCTION("IF(B77="""","" "",IMPORTRANGE(B77,""'export'!c1""))")," ")</f>
        <v> </v>
      </c>
      <c r="I77" s="24" t="str">
        <f>IFERROR(__xludf.DUMMYFUNCTION("IF(B77="""","" "",IMPORTRANGE(B77,""'export'!d1""))")," ")</f>
        <v> </v>
      </c>
      <c r="J77" s="25" t="str">
        <f>IFERROR(__xludf.DUMMYFUNCTION("IF(B77="""","" "",IMPORTRANGE(B77,""'export'!e1""))")," ")</f>
        <v> </v>
      </c>
      <c r="K77" s="25"/>
      <c r="L77" s="21" t="str">
        <f>IFERROR(__xludf.DUMMYFUNCTION("IF(B77="""","" "",IMPORTRANGE(B77,""'export'!f1""))")," ")</f>
        <v> </v>
      </c>
      <c r="M77" s="26" t="str">
        <f>IFERROR(__xludf.DUMMYFUNCTION("IF(B77="""","" "",IMPORTRANGE(B77,""'export'!h3""))")," ")</f>
        <v> </v>
      </c>
      <c r="N77" s="27" t="str">
        <f>IFERROR(__xludf.DUMMYFUNCTION("IF(B77="""","" "",IMPORTRANGE(B77,""'export'!h1""))")," ")</f>
        <v> </v>
      </c>
      <c r="O77" s="28" t="str">
        <f>IFERROR(__xludf.DUMMYFUNCTION("IF(B77="""","" "",IMPORTRANGE(B77,""'export'!h11""))")," ")</f>
        <v> </v>
      </c>
      <c r="P77" s="29" t="str">
        <f>IFERROR(__xludf.DUMMYFUNCTION("IF(B77="""","" "",IMPORTRANGE(B77,""'export'!i1""))")," ")</f>
        <v> </v>
      </c>
      <c r="Q77" s="30" t="str">
        <f>IFERROR(__xludf.DUMMYFUNCTION("IF(B77="""","" "",IMPORTRANGE(B77,""'export'!i13""))")," ")</f>
        <v> </v>
      </c>
      <c r="R77" s="31" t="str">
        <f t="shared" si="2"/>
        <v/>
      </c>
      <c r="S77" s="32" t="str">
        <f>IFERROR(__xludf.DUMMYFUNCTION("IF(B77="""","" "",IMPORTRANGE(B77,""'export'!g1""))")," ")</f>
        <v> </v>
      </c>
    </row>
    <row r="78">
      <c r="A78" s="18"/>
      <c r="B78" s="35"/>
      <c r="C78" s="20" t="str">
        <f>IFERROR(__xludf.DUMMYFUNCTION("IF(B78="""","" "",IMPORTRANGE(B78,""'Export'!m1""))")," ")</f>
        <v> </v>
      </c>
      <c r="D78" s="21" t="str">
        <f t="shared" si="1"/>
        <v> ,  ,  </v>
      </c>
      <c r="E78" s="22" t="str">
        <f>IFERROR(__xludf.DUMMYFUNCTION("IF(B78="""","" "",IMPORTRANGE(B78,""'EXPORT'!L1""))")," ")</f>
        <v> </v>
      </c>
      <c r="F78" s="23" t="str">
        <f>IFERROR(__xludf.DUMMYFUNCTION("IF(B78="""","" "",IMPORTRANGE(B78,""'Export'!a1""))")," ")</f>
        <v> </v>
      </c>
      <c r="G78" s="23" t="str">
        <f>IFERROR(__xludf.DUMMYFUNCTION("IF(B78="""","" "",IMPORTRANGE(B78,""'export'!b1""))")," ")</f>
        <v> </v>
      </c>
      <c r="H78" s="23" t="str">
        <f>IFERROR(__xludf.DUMMYFUNCTION("IF(B78="""","" "",IMPORTRANGE(B78,""'export'!c1""))")," ")</f>
        <v> </v>
      </c>
      <c r="I78" s="24" t="str">
        <f>IFERROR(__xludf.DUMMYFUNCTION("IF(B78="""","" "",IMPORTRANGE(B78,""'export'!d1""))")," ")</f>
        <v> </v>
      </c>
      <c r="J78" s="25" t="str">
        <f>IFERROR(__xludf.DUMMYFUNCTION("IF(B78="""","" "",IMPORTRANGE(B78,""'export'!e1""))")," ")</f>
        <v> </v>
      </c>
      <c r="K78" s="25"/>
      <c r="L78" s="21" t="str">
        <f>IFERROR(__xludf.DUMMYFUNCTION("IF(B78="""","" "",IMPORTRANGE(B78,""'export'!f1""))")," ")</f>
        <v> </v>
      </c>
      <c r="M78" s="26" t="str">
        <f>IFERROR(__xludf.DUMMYFUNCTION("IF(B78="""","" "",IMPORTRANGE(B78,""'export'!h3""))")," ")</f>
        <v> </v>
      </c>
      <c r="N78" s="27" t="str">
        <f>IFERROR(__xludf.DUMMYFUNCTION("IF(B78="""","" "",IMPORTRANGE(B78,""'export'!h1""))")," ")</f>
        <v> </v>
      </c>
      <c r="O78" s="28" t="str">
        <f>IFERROR(__xludf.DUMMYFUNCTION("IF(B78="""","" "",IMPORTRANGE(B78,""'export'!h11""))")," ")</f>
        <v> </v>
      </c>
      <c r="P78" s="29" t="str">
        <f>IFERROR(__xludf.DUMMYFUNCTION("IF(B78="""","" "",IMPORTRANGE(B78,""'export'!i1""))")," ")</f>
        <v> </v>
      </c>
      <c r="Q78" s="30" t="str">
        <f>IFERROR(__xludf.DUMMYFUNCTION("IF(B78="""","" "",IMPORTRANGE(B78,""'export'!i13""))")," ")</f>
        <v> </v>
      </c>
      <c r="R78" s="31" t="str">
        <f t="shared" si="2"/>
        <v/>
      </c>
      <c r="S78" s="32" t="str">
        <f>IFERROR(__xludf.DUMMYFUNCTION("IF(B78="""","" "",IMPORTRANGE(B78,""'export'!g1""))")," ")</f>
        <v> </v>
      </c>
    </row>
    <row r="79">
      <c r="A79" s="18"/>
      <c r="B79" s="35"/>
      <c r="C79" s="20" t="str">
        <f>IFERROR(__xludf.DUMMYFUNCTION("IF(B79="""","" "",IMPORTRANGE(B79,""'Export'!m1""))")," ")</f>
        <v> </v>
      </c>
      <c r="D79" s="21" t="str">
        <f t="shared" si="1"/>
        <v> ,  ,  </v>
      </c>
      <c r="E79" s="22" t="str">
        <f>IFERROR(__xludf.DUMMYFUNCTION("IF(B79="""","" "",IMPORTRANGE(B79,""'EXPORT'!L1""))")," ")</f>
        <v> </v>
      </c>
      <c r="F79" s="23" t="str">
        <f>IFERROR(__xludf.DUMMYFUNCTION("IF(B79="""","" "",IMPORTRANGE(B79,""'Export'!a1""))")," ")</f>
        <v> </v>
      </c>
      <c r="G79" s="23" t="str">
        <f>IFERROR(__xludf.DUMMYFUNCTION("IF(B79="""","" "",IMPORTRANGE(B79,""'export'!b1""))")," ")</f>
        <v> </v>
      </c>
      <c r="H79" s="23" t="str">
        <f>IFERROR(__xludf.DUMMYFUNCTION("IF(B79="""","" "",IMPORTRANGE(B79,""'export'!c1""))")," ")</f>
        <v> </v>
      </c>
      <c r="I79" s="24" t="str">
        <f>IFERROR(__xludf.DUMMYFUNCTION("IF(B79="""","" "",IMPORTRANGE(B79,""'export'!d1""))")," ")</f>
        <v> </v>
      </c>
      <c r="J79" s="25" t="str">
        <f>IFERROR(__xludf.DUMMYFUNCTION("IF(B79="""","" "",IMPORTRANGE(B79,""'export'!e1""))")," ")</f>
        <v> </v>
      </c>
      <c r="K79" s="25"/>
      <c r="L79" s="21" t="str">
        <f>IFERROR(__xludf.DUMMYFUNCTION("IF(B79="""","" "",IMPORTRANGE(B79,""'export'!f1""))")," ")</f>
        <v> </v>
      </c>
      <c r="M79" s="26" t="str">
        <f>IFERROR(__xludf.DUMMYFUNCTION("IF(B79="""","" "",IMPORTRANGE(B79,""'export'!h3""))")," ")</f>
        <v> </v>
      </c>
      <c r="N79" s="27" t="str">
        <f>IFERROR(__xludf.DUMMYFUNCTION("IF(B79="""","" "",IMPORTRANGE(B79,""'export'!h1""))")," ")</f>
        <v> </v>
      </c>
      <c r="O79" s="28" t="str">
        <f>IFERROR(__xludf.DUMMYFUNCTION("IF(B79="""","" "",IMPORTRANGE(B79,""'export'!h11""))")," ")</f>
        <v> </v>
      </c>
      <c r="P79" s="29" t="str">
        <f>IFERROR(__xludf.DUMMYFUNCTION("IF(B79="""","" "",IMPORTRANGE(B79,""'export'!i1""))")," ")</f>
        <v> </v>
      </c>
      <c r="Q79" s="30" t="str">
        <f>IFERROR(__xludf.DUMMYFUNCTION("IF(B79="""","" "",IMPORTRANGE(B79,""'export'!i13""))")," ")</f>
        <v> </v>
      </c>
      <c r="R79" s="31" t="str">
        <f t="shared" si="2"/>
        <v/>
      </c>
      <c r="S79" s="32" t="str">
        <f>IFERROR(__xludf.DUMMYFUNCTION("IF(B79="""","" "",IMPORTRANGE(B79,""'export'!g1""))")," ")</f>
        <v> </v>
      </c>
    </row>
    <row r="80">
      <c r="A80" s="18"/>
      <c r="B80" s="35"/>
      <c r="C80" s="20" t="str">
        <f>IFERROR(__xludf.DUMMYFUNCTION("IF(B80="""","" "",IMPORTRANGE(B80,""'Export'!m1""))")," ")</f>
        <v> </v>
      </c>
      <c r="D80" s="21" t="str">
        <f t="shared" si="1"/>
        <v> ,  ,  </v>
      </c>
      <c r="E80" s="22" t="str">
        <f>IFERROR(__xludf.DUMMYFUNCTION("IF(B80="""","" "",IMPORTRANGE(B80,""'EXPORT'!L1""))")," ")</f>
        <v> </v>
      </c>
      <c r="F80" s="23" t="str">
        <f>IFERROR(__xludf.DUMMYFUNCTION("IF(B80="""","" "",IMPORTRANGE(B80,""'Export'!a1""))")," ")</f>
        <v> </v>
      </c>
      <c r="G80" s="23" t="str">
        <f>IFERROR(__xludf.DUMMYFUNCTION("IF(B80="""","" "",IMPORTRANGE(B80,""'export'!b1""))")," ")</f>
        <v> </v>
      </c>
      <c r="H80" s="23" t="str">
        <f>IFERROR(__xludf.DUMMYFUNCTION("IF(B80="""","" "",IMPORTRANGE(B80,""'export'!c1""))")," ")</f>
        <v> </v>
      </c>
      <c r="I80" s="24" t="str">
        <f>IFERROR(__xludf.DUMMYFUNCTION("IF(B80="""","" "",IMPORTRANGE(B80,""'export'!d1""))")," ")</f>
        <v> </v>
      </c>
      <c r="J80" s="25" t="str">
        <f>IFERROR(__xludf.DUMMYFUNCTION("IF(B80="""","" "",IMPORTRANGE(B80,""'export'!e1""))")," ")</f>
        <v> </v>
      </c>
      <c r="K80" s="25"/>
      <c r="L80" s="21" t="str">
        <f>IFERROR(__xludf.DUMMYFUNCTION("IF(B80="""","" "",IMPORTRANGE(B80,""'export'!f1""))")," ")</f>
        <v> </v>
      </c>
      <c r="M80" s="26" t="str">
        <f>IFERROR(__xludf.DUMMYFUNCTION("IF(B80="""","" "",IMPORTRANGE(B80,""'export'!h3""))")," ")</f>
        <v> </v>
      </c>
      <c r="N80" s="27" t="str">
        <f>IFERROR(__xludf.DUMMYFUNCTION("IF(B80="""","" "",IMPORTRANGE(B80,""'export'!h1""))")," ")</f>
        <v> </v>
      </c>
      <c r="O80" s="28" t="str">
        <f>IFERROR(__xludf.DUMMYFUNCTION("IF(B80="""","" "",IMPORTRANGE(B80,""'export'!h11""))")," ")</f>
        <v> </v>
      </c>
      <c r="P80" s="29" t="str">
        <f>IFERROR(__xludf.DUMMYFUNCTION("IF(B80="""","" "",IMPORTRANGE(B80,""'export'!i1""))")," ")</f>
        <v> </v>
      </c>
      <c r="Q80" s="30" t="str">
        <f>IFERROR(__xludf.DUMMYFUNCTION("IF(B80="""","" "",IMPORTRANGE(B80,""'export'!i13""))")," ")</f>
        <v> </v>
      </c>
      <c r="R80" s="31" t="str">
        <f t="shared" si="2"/>
        <v/>
      </c>
      <c r="S80" s="32" t="str">
        <f>IFERROR(__xludf.DUMMYFUNCTION("IF(B80="""","" "",IMPORTRANGE(B80,""'export'!g1""))")," ")</f>
        <v> </v>
      </c>
    </row>
    <row r="81">
      <c r="A81" s="18"/>
      <c r="B81" s="35"/>
      <c r="C81" s="20" t="str">
        <f>IFERROR(__xludf.DUMMYFUNCTION("IF(B81="""","" "",IMPORTRANGE(B81,""'Export'!m1""))")," ")</f>
        <v> </v>
      </c>
      <c r="D81" s="21" t="str">
        <f t="shared" si="1"/>
        <v> ,  ,  </v>
      </c>
      <c r="E81" s="22" t="str">
        <f>IFERROR(__xludf.DUMMYFUNCTION("IF(B81="""","" "",IMPORTRANGE(B81,""'EXPORT'!L1""))")," ")</f>
        <v> </v>
      </c>
      <c r="F81" s="23" t="str">
        <f>IFERROR(__xludf.DUMMYFUNCTION("IF(B81="""","" "",IMPORTRANGE(B81,""'Export'!a1""))")," ")</f>
        <v> </v>
      </c>
      <c r="G81" s="23" t="str">
        <f>IFERROR(__xludf.DUMMYFUNCTION("IF(B81="""","" "",IMPORTRANGE(B81,""'export'!b1""))")," ")</f>
        <v> </v>
      </c>
      <c r="H81" s="23" t="str">
        <f>IFERROR(__xludf.DUMMYFUNCTION("IF(B81="""","" "",IMPORTRANGE(B81,""'export'!c1""))")," ")</f>
        <v> </v>
      </c>
      <c r="I81" s="24" t="str">
        <f>IFERROR(__xludf.DUMMYFUNCTION("IF(B81="""","" "",IMPORTRANGE(B81,""'export'!d1""))")," ")</f>
        <v> </v>
      </c>
      <c r="J81" s="25" t="str">
        <f>IFERROR(__xludf.DUMMYFUNCTION("IF(B81="""","" "",IMPORTRANGE(B81,""'export'!e1""))")," ")</f>
        <v> </v>
      </c>
      <c r="K81" s="25"/>
      <c r="L81" s="21" t="str">
        <f>IFERROR(__xludf.DUMMYFUNCTION("IF(B81="""","" "",IMPORTRANGE(B81,""'export'!f1""))")," ")</f>
        <v> </v>
      </c>
      <c r="M81" s="26" t="str">
        <f>IFERROR(__xludf.DUMMYFUNCTION("IF(B81="""","" "",IMPORTRANGE(B81,""'export'!h3""))")," ")</f>
        <v> </v>
      </c>
      <c r="N81" s="27" t="str">
        <f>IFERROR(__xludf.DUMMYFUNCTION("IF(B81="""","" "",IMPORTRANGE(B81,""'export'!h1""))")," ")</f>
        <v> </v>
      </c>
      <c r="O81" s="28" t="str">
        <f>IFERROR(__xludf.DUMMYFUNCTION("IF(B81="""","" "",IMPORTRANGE(B81,""'export'!h11""))")," ")</f>
        <v> </v>
      </c>
      <c r="P81" s="29" t="str">
        <f>IFERROR(__xludf.DUMMYFUNCTION("IF(B81="""","" "",IMPORTRANGE(B81,""'export'!i1""))")," ")</f>
        <v> </v>
      </c>
      <c r="Q81" s="30" t="str">
        <f>IFERROR(__xludf.DUMMYFUNCTION("IF(B81="""","" "",IMPORTRANGE(B81,""'export'!i13""))")," ")</f>
        <v> </v>
      </c>
      <c r="R81" s="31" t="str">
        <f t="shared" si="2"/>
        <v/>
      </c>
      <c r="S81" s="32" t="str">
        <f>IFERROR(__xludf.DUMMYFUNCTION("IF(B81="""","" "",IMPORTRANGE(B81,""'export'!g1""))")," ")</f>
        <v> </v>
      </c>
    </row>
    <row r="82">
      <c r="A82" s="18"/>
      <c r="B82" s="35"/>
      <c r="C82" s="20" t="str">
        <f>IFERROR(__xludf.DUMMYFUNCTION("IF(B82="""","" "",IMPORTRANGE(B82,""'Export'!m1""))")," ")</f>
        <v> </v>
      </c>
      <c r="D82" s="21" t="str">
        <f t="shared" si="1"/>
        <v> ,  ,  </v>
      </c>
      <c r="E82" s="22" t="str">
        <f>IFERROR(__xludf.DUMMYFUNCTION("IF(B82="""","" "",IMPORTRANGE(B82,""'EXPORT'!L1""))")," ")</f>
        <v> </v>
      </c>
      <c r="F82" s="23" t="str">
        <f>IFERROR(__xludf.DUMMYFUNCTION("IF(B82="""","" "",IMPORTRANGE(B82,""'Export'!a1""))")," ")</f>
        <v> </v>
      </c>
      <c r="G82" s="23" t="str">
        <f>IFERROR(__xludf.DUMMYFUNCTION("IF(B82="""","" "",IMPORTRANGE(B82,""'export'!b1""))")," ")</f>
        <v> </v>
      </c>
      <c r="H82" s="23" t="str">
        <f>IFERROR(__xludf.DUMMYFUNCTION("IF(B82="""","" "",IMPORTRANGE(B82,""'export'!c1""))")," ")</f>
        <v> </v>
      </c>
      <c r="I82" s="24" t="str">
        <f>IFERROR(__xludf.DUMMYFUNCTION("IF(B82="""","" "",IMPORTRANGE(B82,""'export'!d1""))")," ")</f>
        <v> </v>
      </c>
      <c r="J82" s="25" t="str">
        <f>IFERROR(__xludf.DUMMYFUNCTION("IF(B82="""","" "",IMPORTRANGE(B82,""'export'!e1""))")," ")</f>
        <v> </v>
      </c>
      <c r="K82" s="25"/>
      <c r="L82" s="21" t="str">
        <f>IFERROR(__xludf.DUMMYFUNCTION("IF(B82="""","" "",IMPORTRANGE(B82,""'export'!f1""))")," ")</f>
        <v> </v>
      </c>
      <c r="M82" s="26" t="str">
        <f>IFERROR(__xludf.DUMMYFUNCTION("IF(B82="""","" "",IMPORTRANGE(B82,""'export'!h3""))")," ")</f>
        <v> </v>
      </c>
      <c r="N82" s="27" t="str">
        <f>IFERROR(__xludf.DUMMYFUNCTION("IF(B82="""","" "",IMPORTRANGE(B82,""'export'!h1""))")," ")</f>
        <v> </v>
      </c>
      <c r="O82" s="28" t="str">
        <f>IFERROR(__xludf.DUMMYFUNCTION("IF(B82="""","" "",IMPORTRANGE(B82,""'export'!h11""))")," ")</f>
        <v> </v>
      </c>
      <c r="P82" s="29" t="str">
        <f>IFERROR(__xludf.DUMMYFUNCTION("IF(B82="""","" "",IMPORTRANGE(B82,""'export'!i1""))")," ")</f>
        <v> </v>
      </c>
      <c r="Q82" s="30" t="str">
        <f>IFERROR(__xludf.DUMMYFUNCTION("IF(B82="""","" "",IMPORTRANGE(B82,""'export'!i13""))")," ")</f>
        <v> </v>
      </c>
      <c r="R82" s="31" t="str">
        <f t="shared" si="2"/>
        <v/>
      </c>
      <c r="S82" s="32" t="str">
        <f>IFERROR(__xludf.DUMMYFUNCTION("IF(B82="""","" "",IMPORTRANGE(B82,""'export'!g1""))")," ")</f>
        <v> </v>
      </c>
    </row>
    <row r="83">
      <c r="A83" s="18"/>
      <c r="B83" s="35"/>
      <c r="C83" s="20" t="str">
        <f>IFERROR(__xludf.DUMMYFUNCTION("IF(B83="""","" "",IMPORTRANGE(B83,""'Export'!m1""))")," ")</f>
        <v> </v>
      </c>
      <c r="D83" s="21" t="str">
        <f t="shared" si="1"/>
        <v> ,  ,  </v>
      </c>
      <c r="E83" s="22" t="str">
        <f>IFERROR(__xludf.DUMMYFUNCTION("IF(B83="""","" "",IMPORTRANGE(B83,""'EXPORT'!L1""))")," ")</f>
        <v> </v>
      </c>
      <c r="F83" s="23" t="str">
        <f>IFERROR(__xludf.DUMMYFUNCTION("IF(B83="""","" "",IMPORTRANGE(B83,""'Export'!a1""))")," ")</f>
        <v> </v>
      </c>
      <c r="G83" s="23" t="str">
        <f>IFERROR(__xludf.DUMMYFUNCTION("IF(B83="""","" "",IMPORTRANGE(B83,""'export'!b1""))")," ")</f>
        <v> </v>
      </c>
      <c r="H83" s="23" t="str">
        <f>IFERROR(__xludf.DUMMYFUNCTION("IF(B83="""","" "",IMPORTRANGE(B83,""'export'!c1""))")," ")</f>
        <v> </v>
      </c>
      <c r="I83" s="24" t="str">
        <f>IFERROR(__xludf.DUMMYFUNCTION("IF(B83="""","" "",IMPORTRANGE(B83,""'export'!d1""))")," ")</f>
        <v> </v>
      </c>
      <c r="J83" s="25" t="str">
        <f>IFERROR(__xludf.DUMMYFUNCTION("IF(B83="""","" "",IMPORTRANGE(B83,""'export'!e1""))")," ")</f>
        <v> </v>
      </c>
      <c r="K83" s="25"/>
      <c r="L83" s="21" t="str">
        <f>IFERROR(__xludf.DUMMYFUNCTION("IF(B83="""","" "",IMPORTRANGE(B83,""'export'!f1""))")," ")</f>
        <v> </v>
      </c>
      <c r="M83" s="26" t="str">
        <f>IFERROR(__xludf.DUMMYFUNCTION("IF(B83="""","" "",IMPORTRANGE(B83,""'export'!h3""))")," ")</f>
        <v> </v>
      </c>
      <c r="N83" s="27" t="str">
        <f>IFERROR(__xludf.DUMMYFUNCTION("IF(B83="""","" "",IMPORTRANGE(B83,""'export'!h1""))")," ")</f>
        <v> </v>
      </c>
      <c r="O83" s="28" t="str">
        <f>IFERROR(__xludf.DUMMYFUNCTION("IF(B83="""","" "",IMPORTRANGE(B83,""'export'!h11""))")," ")</f>
        <v> </v>
      </c>
      <c r="P83" s="29" t="str">
        <f>IFERROR(__xludf.DUMMYFUNCTION("IF(B83="""","" "",IMPORTRANGE(B83,""'export'!i1""))")," ")</f>
        <v> </v>
      </c>
      <c r="Q83" s="30" t="str">
        <f>IFERROR(__xludf.DUMMYFUNCTION("IF(B83="""","" "",IMPORTRANGE(B83,""'export'!i13""))")," ")</f>
        <v> </v>
      </c>
      <c r="R83" s="31" t="str">
        <f t="shared" si="2"/>
        <v/>
      </c>
      <c r="S83" s="32" t="str">
        <f>IFERROR(__xludf.DUMMYFUNCTION("IF(B83="""","" "",IMPORTRANGE(B83,""'export'!g1""))")," ")</f>
        <v> </v>
      </c>
    </row>
    <row r="84">
      <c r="A84" s="18"/>
      <c r="B84" s="35"/>
      <c r="C84" s="20" t="str">
        <f>IFERROR(__xludf.DUMMYFUNCTION("IF(B84="""","" "",IMPORTRANGE(B84,""'Export'!m1""))")," ")</f>
        <v> </v>
      </c>
      <c r="D84" s="21" t="str">
        <f t="shared" si="1"/>
        <v> ,  ,  </v>
      </c>
      <c r="E84" s="22" t="str">
        <f>IFERROR(__xludf.DUMMYFUNCTION("IF(B84="""","" "",IMPORTRANGE(B84,""'EXPORT'!L1""))")," ")</f>
        <v> </v>
      </c>
      <c r="F84" s="23" t="str">
        <f>IFERROR(__xludf.DUMMYFUNCTION("IF(B84="""","" "",IMPORTRANGE(B84,""'Export'!a1""))")," ")</f>
        <v> </v>
      </c>
      <c r="G84" s="23" t="str">
        <f>IFERROR(__xludf.DUMMYFUNCTION("IF(B84="""","" "",IMPORTRANGE(B84,""'export'!b1""))")," ")</f>
        <v> </v>
      </c>
      <c r="H84" s="23" t="str">
        <f>IFERROR(__xludf.DUMMYFUNCTION("IF(B84="""","" "",IMPORTRANGE(B84,""'export'!c1""))")," ")</f>
        <v> </v>
      </c>
      <c r="I84" s="24" t="str">
        <f>IFERROR(__xludf.DUMMYFUNCTION("IF(B84="""","" "",IMPORTRANGE(B84,""'export'!d1""))")," ")</f>
        <v> </v>
      </c>
      <c r="J84" s="25" t="str">
        <f>IFERROR(__xludf.DUMMYFUNCTION("IF(B84="""","" "",IMPORTRANGE(B84,""'export'!e1""))")," ")</f>
        <v> </v>
      </c>
      <c r="K84" s="25"/>
      <c r="L84" s="21" t="str">
        <f>IFERROR(__xludf.DUMMYFUNCTION("IF(B84="""","" "",IMPORTRANGE(B84,""'export'!f1""))")," ")</f>
        <v> </v>
      </c>
      <c r="M84" s="26" t="str">
        <f>IFERROR(__xludf.DUMMYFUNCTION("IF(B84="""","" "",IMPORTRANGE(B84,""'export'!h3""))")," ")</f>
        <v> </v>
      </c>
      <c r="N84" s="27" t="str">
        <f>IFERROR(__xludf.DUMMYFUNCTION("IF(B84="""","" "",IMPORTRANGE(B84,""'export'!h1""))")," ")</f>
        <v> </v>
      </c>
      <c r="O84" s="28" t="str">
        <f>IFERROR(__xludf.DUMMYFUNCTION("IF(B84="""","" "",IMPORTRANGE(B84,""'export'!h11""))")," ")</f>
        <v> </v>
      </c>
      <c r="P84" s="29" t="str">
        <f>IFERROR(__xludf.DUMMYFUNCTION("IF(B84="""","" "",IMPORTRANGE(B84,""'export'!i1""))")," ")</f>
        <v> </v>
      </c>
      <c r="Q84" s="30" t="str">
        <f>IFERROR(__xludf.DUMMYFUNCTION("IF(B84="""","" "",IMPORTRANGE(B84,""'export'!i13""))")," ")</f>
        <v> </v>
      </c>
      <c r="R84" s="31" t="str">
        <f t="shared" si="2"/>
        <v/>
      </c>
      <c r="S84" s="32" t="str">
        <f>IFERROR(__xludf.DUMMYFUNCTION("IF(B84="""","" "",IMPORTRANGE(B84,""'export'!g1""))")," ")</f>
        <v> </v>
      </c>
    </row>
    <row r="85">
      <c r="A85" s="18"/>
      <c r="B85" s="35"/>
      <c r="C85" s="20" t="str">
        <f>IFERROR(__xludf.DUMMYFUNCTION("IF(B85="""","" "",IMPORTRANGE(B85,""'Export'!m1""))")," ")</f>
        <v> </v>
      </c>
      <c r="D85" s="21" t="str">
        <f t="shared" si="1"/>
        <v> ,  ,  </v>
      </c>
      <c r="E85" s="22" t="str">
        <f>IFERROR(__xludf.DUMMYFUNCTION("IF(B85="""","" "",IMPORTRANGE(B85,""'EXPORT'!L1""))")," ")</f>
        <v> </v>
      </c>
      <c r="F85" s="23" t="str">
        <f>IFERROR(__xludf.DUMMYFUNCTION("IF(B85="""","" "",IMPORTRANGE(B85,""'Export'!a1""))")," ")</f>
        <v> </v>
      </c>
      <c r="G85" s="23" t="str">
        <f>IFERROR(__xludf.DUMMYFUNCTION("IF(B85="""","" "",IMPORTRANGE(B85,""'export'!b1""))")," ")</f>
        <v> </v>
      </c>
      <c r="H85" s="23" t="str">
        <f>IFERROR(__xludf.DUMMYFUNCTION("IF(B85="""","" "",IMPORTRANGE(B85,""'export'!c1""))")," ")</f>
        <v> </v>
      </c>
      <c r="I85" s="24" t="str">
        <f>IFERROR(__xludf.DUMMYFUNCTION("IF(B85="""","" "",IMPORTRANGE(B85,""'export'!d1""))")," ")</f>
        <v> </v>
      </c>
      <c r="J85" s="25" t="str">
        <f>IFERROR(__xludf.DUMMYFUNCTION("IF(B85="""","" "",IMPORTRANGE(B85,""'export'!e1""))")," ")</f>
        <v> </v>
      </c>
      <c r="K85" s="25"/>
      <c r="L85" s="21" t="str">
        <f>IFERROR(__xludf.DUMMYFUNCTION("IF(B85="""","" "",IMPORTRANGE(B85,""'export'!f1""))")," ")</f>
        <v> </v>
      </c>
      <c r="M85" s="26" t="str">
        <f>IFERROR(__xludf.DUMMYFUNCTION("IF(B85="""","" "",IMPORTRANGE(B85,""'export'!h3""))")," ")</f>
        <v> </v>
      </c>
      <c r="N85" s="27" t="str">
        <f>IFERROR(__xludf.DUMMYFUNCTION("IF(B85="""","" "",IMPORTRANGE(B85,""'export'!h1""))")," ")</f>
        <v> </v>
      </c>
      <c r="O85" s="28" t="str">
        <f>IFERROR(__xludf.DUMMYFUNCTION("IF(B85="""","" "",IMPORTRANGE(B85,""'export'!h11""))")," ")</f>
        <v> </v>
      </c>
      <c r="P85" s="29" t="str">
        <f>IFERROR(__xludf.DUMMYFUNCTION("IF(B85="""","" "",IMPORTRANGE(B85,""'export'!i1""))")," ")</f>
        <v> </v>
      </c>
      <c r="Q85" s="30" t="str">
        <f>IFERROR(__xludf.DUMMYFUNCTION("IF(B85="""","" "",IMPORTRANGE(B85,""'export'!i13""))")," ")</f>
        <v> </v>
      </c>
      <c r="R85" s="31" t="str">
        <f t="shared" si="2"/>
        <v/>
      </c>
      <c r="S85" s="32" t="str">
        <f>IFERROR(__xludf.DUMMYFUNCTION("IF(B85="""","" "",IMPORTRANGE(B85,""'export'!g1""))")," ")</f>
        <v> </v>
      </c>
    </row>
    <row r="86">
      <c r="A86" s="18"/>
      <c r="B86" s="35"/>
      <c r="C86" s="20" t="str">
        <f>IFERROR(__xludf.DUMMYFUNCTION("IF(B86="""","" "",IMPORTRANGE(B86,""'Export'!m1""))")," ")</f>
        <v> </v>
      </c>
      <c r="D86" s="21" t="str">
        <f t="shared" si="1"/>
        <v> ,  ,  </v>
      </c>
      <c r="E86" s="22" t="str">
        <f>IFERROR(__xludf.DUMMYFUNCTION("IF(B86="""","" "",IMPORTRANGE(B86,""'EXPORT'!L1""))")," ")</f>
        <v> </v>
      </c>
      <c r="F86" s="23" t="str">
        <f>IFERROR(__xludf.DUMMYFUNCTION("IF(B86="""","" "",IMPORTRANGE(B86,""'Export'!a1""))")," ")</f>
        <v> </v>
      </c>
      <c r="G86" s="23" t="str">
        <f>IFERROR(__xludf.DUMMYFUNCTION("IF(B86="""","" "",IMPORTRANGE(B86,""'export'!b1""))")," ")</f>
        <v> </v>
      </c>
      <c r="H86" s="23" t="str">
        <f>IFERROR(__xludf.DUMMYFUNCTION("IF(B86="""","" "",IMPORTRANGE(B86,""'export'!c1""))")," ")</f>
        <v> </v>
      </c>
      <c r="I86" s="24" t="str">
        <f>IFERROR(__xludf.DUMMYFUNCTION("IF(B86="""","" "",IMPORTRANGE(B86,""'export'!d1""))")," ")</f>
        <v> </v>
      </c>
      <c r="J86" s="25" t="str">
        <f>IFERROR(__xludf.DUMMYFUNCTION("IF(B86="""","" "",IMPORTRANGE(B86,""'export'!e1""))")," ")</f>
        <v> </v>
      </c>
      <c r="K86" s="25"/>
      <c r="L86" s="21" t="str">
        <f>IFERROR(__xludf.DUMMYFUNCTION("IF(B86="""","" "",IMPORTRANGE(B86,""'export'!f1""))")," ")</f>
        <v> </v>
      </c>
      <c r="M86" s="26" t="str">
        <f>IFERROR(__xludf.DUMMYFUNCTION("IF(B86="""","" "",IMPORTRANGE(B86,""'export'!h3""))")," ")</f>
        <v> </v>
      </c>
      <c r="N86" s="27" t="str">
        <f>IFERROR(__xludf.DUMMYFUNCTION("IF(B86="""","" "",IMPORTRANGE(B86,""'export'!h1""))")," ")</f>
        <v> </v>
      </c>
      <c r="O86" s="28" t="str">
        <f>IFERROR(__xludf.DUMMYFUNCTION("IF(B86="""","" "",IMPORTRANGE(B86,""'export'!h11""))")," ")</f>
        <v> </v>
      </c>
      <c r="P86" s="29" t="str">
        <f>IFERROR(__xludf.DUMMYFUNCTION("IF(B86="""","" "",IMPORTRANGE(B86,""'export'!i1""))")," ")</f>
        <v> </v>
      </c>
      <c r="Q86" s="30" t="str">
        <f>IFERROR(__xludf.DUMMYFUNCTION("IF(B86="""","" "",IMPORTRANGE(B86,""'export'!i13""))")," ")</f>
        <v> </v>
      </c>
      <c r="R86" s="31" t="str">
        <f t="shared" si="2"/>
        <v/>
      </c>
      <c r="S86" s="32" t="str">
        <f>IFERROR(__xludf.DUMMYFUNCTION("IF(B86="""","" "",IMPORTRANGE(B86,""'export'!g1""))")," ")</f>
        <v> </v>
      </c>
    </row>
    <row r="87">
      <c r="A87" s="18"/>
      <c r="B87" s="35"/>
      <c r="C87" s="20" t="str">
        <f>IFERROR(__xludf.DUMMYFUNCTION("IF(B87="""","" "",IMPORTRANGE(B87,""'Export'!m1""))")," ")</f>
        <v> </v>
      </c>
      <c r="D87" s="21" t="str">
        <f t="shared" si="1"/>
        <v> ,  ,  </v>
      </c>
      <c r="E87" s="22" t="str">
        <f>IFERROR(__xludf.DUMMYFUNCTION("IF(B87="""","" "",IMPORTRANGE(B87,""'EXPORT'!L1""))")," ")</f>
        <v> </v>
      </c>
      <c r="F87" s="23" t="str">
        <f>IFERROR(__xludf.DUMMYFUNCTION("IF(B87="""","" "",IMPORTRANGE(B87,""'Export'!a1""))")," ")</f>
        <v> </v>
      </c>
      <c r="G87" s="23" t="str">
        <f>IFERROR(__xludf.DUMMYFUNCTION("IF(B87="""","" "",IMPORTRANGE(B87,""'export'!b1""))")," ")</f>
        <v> </v>
      </c>
      <c r="H87" s="23" t="str">
        <f>IFERROR(__xludf.DUMMYFUNCTION("IF(B87="""","" "",IMPORTRANGE(B87,""'export'!c1""))")," ")</f>
        <v> </v>
      </c>
      <c r="I87" s="24" t="str">
        <f>IFERROR(__xludf.DUMMYFUNCTION("IF(B87="""","" "",IMPORTRANGE(B87,""'export'!d1""))")," ")</f>
        <v> </v>
      </c>
      <c r="J87" s="25" t="str">
        <f>IFERROR(__xludf.DUMMYFUNCTION("IF(B87="""","" "",IMPORTRANGE(B87,""'export'!e1""))")," ")</f>
        <v> </v>
      </c>
      <c r="K87" s="25"/>
      <c r="L87" s="21" t="str">
        <f>IFERROR(__xludf.DUMMYFUNCTION("IF(B87="""","" "",IMPORTRANGE(B87,""'export'!f1""))")," ")</f>
        <v> </v>
      </c>
      <c r="M87" s="26" t="str">
        <f>IFERROR(__xludf.DUMMYFUNCTION("IF(B87="""","" "",IMPORTRANGE(B87,""'export'!h3""))")," ")</f>
        <v> </v>
      </c>
      <c r="N87" s="27" t="str">
        <f>IFERROR(__xludf.DUMMYFUNCTION("IF(B87="""","" "",IMPORTRANGE(B87,""'export'!h1""))")," ")</f>
        <v> </v>
      </c>
      <c r="O87" s="28" t="str">
        <f>IFERROR(__xludf.DUMMYFUNCTION("IF(B87="""","" "",IMPORTRANGE(B87,""'export'!h11""))")," ")</f>
        <v> </v>
      </c>
      <c r="P87" s="29" t="str">
        <f>IFERROR(__xludf.DUMMYFUNCTION("IF(B87="""","" "",IMPORTRANGE(B87,""'export'!i1""))")," ")</f>
        <v> </v>
      </c>
      <c r="Q87" s="30" t="str">
        <f>IFERROR(__xludf.DUMMYFUNCTION("IF(B87="""","" "",IMPORTRANGE(B87,""'export'!i13""))")," ")</f>
        <v> </v>
      </c>
      <c r="R87" s="31" t="str">
        <f t="shared" si="2"/>
        <v/>
      </c>
      <c r="S87" s="32" t="str">
        <f>IFERROR(__xludf.DUMMYFUNCTION("IF(B87="""","" "",IMPORTRANGE(B87,""'export'!g1""))")," ")</f>
        <v> </v>
      </c>
    </row>
    <row r="88">
      <c r="A88" s="18"/>
      <c r="B88" s="35"/>
      <c r="C88" s="20" t="str">
        <f>IFERROR(__xludf.DUMMYFUNCTION("IF(B88="""","" "",IMPORTRANGE(B88,""'Export'!m1""))")," ")</f>
        <v> </v>
      </c>
      <c r="D88" s="21" t="str">
        <f t="shared" si="1"/>
        <v> ,  ,  </v>
      </c>
      <c r="E88" s="22" t="str">
        <f>IFERROR(__xludf.DUMMYFUNCTION("IF(B88="""","" "",IMPORTRANGE(B88,""'EXPORT'!L1""))")," ")</f>
        <v> </v>
      </c>
      <c r="F88" s="23" t="str">
        <f>IFERROR(__xludf.DUMMYFUNCTION("IF(B88="""","" "",IMPORTRANGE(B88,""'Export'!a1""))")," ")</f>
        <v> </v>
      </c>
      <c r="G88" s="23" t="str">
        <f>IFERROR(__xludf.DUMMYFUNCTION("IF(B88="""","" "",IMPORTRANGE(B88,""'export'!b1""))")," ")</f>
        <v> </v>
      </c>
      <c r="H88" s="23" t="str">
        <f>IFERROR(__xludf.DUMMYFUNCTION("IF(B88="""","" "",IMPORTRANGE(B88,""'export'!c1""))")," ")</f>
        <v> </v>
      </c>
      <c r="I88" s="24" t="str">
        <f>IFERROR(__xludf.DUMMYFUNCTION("IF(B88="""","" "",IMPORTRANGE(B88,""'export'!d1""))")," ")</f>
        <v> </v>
      </c>
      <c r="J88" s="25" t="str">
        <f>IFERROR(__xludf.DUMMYFUNCTION("IF(B88="""","" "",IMPORTRANGE(B88,""'export'!e1""))")," ")</f>
        <v> </v>
      </c>
      <c r="K88" s="25"/>
      <c r="L88" s="21" t="str">
        <f>IFERROR(__xludf.DUMMYFUNCTION("IF(B88="""","" "",IMPORTRANGE(B88,""'export'!f1""))")," ")</f>
        <v> </v>
      </c>
      <c r="M88" s="26" t="str">
        <f>IFERROR(__xludf.DUMMYFUNCTION("IF(B88="""","" "",IMPORTRANGE(B88,""'export'!h3""))")," ")</f>
        <v> </v>
      </c>
      <c r="N88" s="27" t="str">
        <f>IFERROR(__xludf.DUMMYFUNCTION("IF(B88="""","" "",IMPORTRANGE(B88,""'export'!h1""))")," ")</f>
        <v> </v>
      </c>
      <c r="O88" s="28" t="str">
        <f>IFERROR(__xludf.DUMMYFUNCTION("IF(B88="""","" "",IMPORTRANGE(B88,""'export'!h11""))")," ")</f>
        <v> </v>
      </c>
      <c r="P88" s="29" t="str">
        <f>IFERROR(__xludf.DUMMYFUNCTION("IF(B88="""","" "",IMPORTRANGE(B88,""'export'!i1""))")," ")</f>
        <v> </v>
      </c>
      <c r="Q88" s="30" t="str">
        <f>IFERROR(__xludf.DUMMYFUNCTION("IF(B88="""","" "",IMPORTRANGE(B88,""'export'!i13""))")," ")</f>
        <v> </v>
      </c>
      <c r="R88" s="31" t="str">
        <f t="shared" si="2"/>
        <v/>
      </c>
      <c r="S88" s="32" t="str">
        <f>IFERROR(__xludf.DUMMYFUNCTION("IF(B88="""","" "",IMPORTRANGE(B88,""'export'!g1""))")," ")</f>
        <v> </v>
      </c>
    </row>
    <row r="89">
      <c r="A89" s="18"/>
      <c r="B89" s="35"/>
      <c r="C89" s="20" t="str">
        <f>IFERROR(__xludf.DUMMYFUNCTION("IF(B89="""","" "",IMPORTRANGE(B89,""'Export'!m1""))")," ")</f>
        <v> </v>
      </c>
      <c r="D89" s="21" t="str">
        <f t="shared" si="1"/>
        <v> ,  ,  </v>
      </c>
      <c r="E89" s="22" t="str">
        <f>IFERROR(__xludf.DUMMYFUNCTION("IF(B89="""","" "",IMPORTRANGE(B89,""'EXPORT'!L1""))")," ")</f>
        <v> </v>
      </c>
      <c r="F89" s="23" t="str">
        <f>IFERROR(__xludf.DUMMYFUNCTION("IF(B89="""","" "",IMPORTRANGE(B89,""'Export'!a1""))")," ")</f>
        <v> </v>
      </c>
      <c r="G89" s="23" t="str">
        <f>IFERROR(__xludf.DUMMYFUNCTION("IF(B89="""","" "",IMPORTRANGE(B89,""'export'!b1""))")," ")</f>
        <v> </v>
      </c>
      <c r="H89" s="23" t="str">
        <f>IFERROR(__xludf.DUMMYFUNCTION("IF(B89="""","" "",IMPORTRANGE(B89,""'export'!c1""))")," ")</f>
        <v> </v>
      </c>
      <c r="I89" s="24" t="str">
        <f>IFERROR(__xludf.DUMMYFUNCTION("IF(B89="""","" "",IMPORTRANGE(B89,""'export'!d1""))")," ")</f>
        <v> </v>
      </c>
      <c r="J89" s="25" t="str">
        <f>IFERROR(__xludf.DUMMYFUNCTION("IF(B89="""","" "",IMPORTRANGE(B89,""'export'!e1""))")," ")</f>
        <v> </v>
      </c>
      <c r="K89" s="25"/>
      <c r="L89" s="21" t="str">
        <f>IFERROR(__xludf.DUMMYFUNCTION("IF(B89="""","" "",IMPORTRANGE(B89,""'export'!f1""))")," ")</f>
        <v> </v>
      </c>
      <c r="M89" s="26" t="str">
        <f>IFERROR(__xludf.DUMMYFUNCTION("IF(B89="""","" "",IMPORTRANGE(B89,""'export'!h3""))")," ")</f>
        <v> </v>
      </c>
      <c r="N89" s="27" t="str">
        <f>IFERROR(__xludf.DUMMYFUNCTION("IF(B89="""","" "",IMPORTRANGE(B89,""'export'!h1""))")," ")</f>
        <v> </v>
      </c>
      <c r="O89" s="28" t="str">
        <f>IFERROR(__xludf.DUMMYFUNCTION("IF(B89="""","" "",IMPORTRANGE(B89,""'export'!h11""))")," ")</f>
        <v> </v>
      </c>
      <c r="P89" s="29" t="str">
        <f>IFERROR(__xludf.DUMMYFUNCTION("IF(B89="""","" "",IMPORTRANGE(B89,""'export'!i1""))")," ")</f>
        <v> </v>
      </c>
      <c r="Q89" s="30" t="str">
        <f>IFERROR(__xludf.DUMMYFUNCTION("IF(B89="""","" "",IMPORTRANGE(B89,""'export'!i13""))")," ")</f>
        <v> </v>
      </c>
      <c r="R89" s="31" t="str">
        <f t="shared" si="2"/>
        <v/>
      </c>
      <c r="S89" s="32" t="str">
        <f>IFERROR(__xludf.DUMMYFUNCTION("IF(B89="""","" "",IMPORTRANGE(B89,""'export'!g1""))")," ")</f>
        <v> </v>
      </c>
    </row>
    <row r="90">
      <c r="A90" s="18"/>
      <c r="B90" s="35"/>
      <c r="C90" s="20" t="str">
        <f>IFERROR(__xludf.DUMMYFUNCTION("IF(B90="""","" "",IMPORTRANGE(B90,""'Export'!m1""))")," ")</f>
        <v> </v>
      </c>
      <c r="D90" s="21" t="str">
        <f t="shared" si="1"/>
        <v> ,  ,  </v>
      </c>
      <c r="E90" s="22" t="str">
        <f>IFERROR(__xludf.DUMMYFUNCTION("IF(B90="""","" "",IMPORTRANGE(B90,""'EXPORT'!L1""))")," ")</f>
        <v> </v>
      </c>
      <c r="F90" s="23" t="str">
        <f>IFERROR(__xludf.DUMMYFUNCTION("IF(B90="""","" "",IMPORTRANGE(B90,""'Export'!a1""))")," ")</f>
        <v> </v>
      </c>
      <c r="G90" s="23" t="str">
        <f>IFERROR(__xludf.DUMMYFUNCTION("IF(B90="""","" "",IMPORTRANGE(B90,""'export'!b1""))")," ")</f>
        <v> </v>
      </c>
      <c r="H90" s="23" t="str">
        <f>IFERROR(__xludf.DUMMYFUNCTION("IF(B90="""","" "",IMPORTRANGE(B90,""'export'!c1""))")," ")</f>
        <v> </v>
      </c>
      <c r="I90" s="24" t="str">
        <f>IFERROR(__xludf.DUMMYFUNCTION("IF(B90="""","" "",IMPORTRANGE(B90,""'export'!d1""))")," ")</f>
        <v> </v>
      </c>
      <c r="J90" s="25" t="str">
        <f>IFERROR(__xludf.DUMMYFUNCTION("IF(B90="""","" "",IMPORTRANGE(B90,""'export'!e1""))")," ")</f>
        <v> </v>
      </c>
      <c r="K90" s="25"/>
      <c r="L90" s="21" t="str">
        <f>IFERROR(__xludf.DUMMYFUNCTION("IF(B90="""","" "",IMPORTRANGE(B90,""'export'!f1""))")," ")</f>
        <v> </v>
      </c>
      <c r="M90" s="26" t="str">
        <f>IFERROR(__xludf.DUMMYFUNCTION("IF(B90="""","" "",IMPORTRANGE(B90,""'export'!h3""))")," ")</f>
        <v> </v>
      </c>
      <c r="N90" s="27" t="str">
        <f>IFERROR(__xludf.DUMMYFUNCTION("IF(B90="""","" "",IMPORTRANGE(B90,""'export'!h1""))")," ")</f>
        <v> </v>
      </c>
      <c r="O90" s="28" t="str">
        <f>IFERROR(__xludf.DUMMYFUNCTION("IF(B90="""","" "",IMPORTRANGE(B90,""'export'!h11""))")," ")</f>
        <v> </v>
      </c>
      <c r="P90" s="29" t="str">
        <f>IFERROR(__xludf.DUMMYFUNCTION("IF(B90="""","" "",IMPORTRANGE(B90,""'export'!i1""))")," ")</f>
        <v> </v>
      </c>
      <c r="Q90" s="30" t="str">
        <f>IFERROR(__xludf.DUMMYFUNCTION("IF(B90="""","" "",IMPORTRANGE(B90,""'export'!i13""))")," ")</f>
        <v> </v>
      </c>
      <c r="R90" s="31" t="str">
        <f t="shared" si="2"/>
        <v/>
      </c>
      <c r="S90" s="32" t="str">
        <f>IFERROR(__xludf.DUMMYFUNCTION("IF(B90="""","" "",IMPORTRANGE(B90,""'export'!g1""))")," ")</f>
        <v> </v>
      </c>
    </row>
    <row r="91">
      <c r="A91" s="18"/>
      <c r="B91" s="35"/>
      <c r="C91" s="20" t="str">
        <f>IFERROR(__xludf.DUMMYFUNCTION("IF(B91="""","" "",IMPORTRANGE(B91,""'Export'!m1""))")," ")</f>
        <v> </v>
      </c>
      <c r="D91" s="21" t="str">
        <f t="shared" si="1"/>
        <v> ,  ,  </v>
      </c>
      <c r="E91" s="22" t="str">
        <f>IFERROR(__xludf.DUMMYFUNCTION("IF(B91="""","" "",IMPORTRANGE(B91,""'EXPORT'!L1""))")," ")</f>
        <v> </v>
      </c>
      <c r="F91" s="23" t="str">
        <f>IFERROR(__xludf.DUMMYFUNCTION("IF(B91="""","" "",IMPORTRANGE(B91,""'Export'!a1""))")," ")</f>
        <v> </v>
      </c>
      <c r="G91" s="23" t="str">
        <f>IFERROR(__xludf.DUMMYFUNCTION("IF(B91="""","" "",IMPORTRANGE(B91,""'export'!b1""))")," ")</f>
        <v> </v>
      </c>
      <c r="H91" s="23" t="str">
        <f>IFERROR(__xludf.DUMMYFUNCTION("IF(B91="""","" "",IMPORTRANGE(B91,""'export'!c1""))")," ")</f>
        <v> </v>
      </c>
      <c r="I91" s="24" t="str">
        <f>IFERROR(__xludf.DUMMYFUNCTION("IF(B91="""","" "",IMPORTRANGE(B91,""'export'!d1""))")," ")</f>
        <v> </v>
      </c>
      <c r="J91" s="25" t="str">
        <f>IFERROR(__xludf.DUMMYFUNCTION("IF(B91="""","" "",IMPORTRANGE(B91,""'export'!e1""))")," ")</f>
        <v> </v>
      </c>
      <c r="K91" s="25"/>
      <c r="L91" s="21" t="str">
        <f>IFERROR(__xludf.DUMMYFUNCTION("IF(B91="""","" "",IMPORTRANGE(B91,""'export'!f1""))")," ")</f>
        <v> </v>
      </c>
      <c r="M91" s="26" t="str">
        <f>IFERROR(__xludf.DUMMYFUNCTION("IF(B91="""","" "",IMPORTRANGE(B91,""'export'!h3""))")," ")</f>
        <v> </v>
      </c>
      <c r="N91" s="27" t="str">
        <f>IFERROR(__xludf.DUMMYFUNCTION("IF(B91="""","" "",IMPORTRANGE(B91,""'export'!h1""))")," ")</f>
        <v> </v>
      </c>
      <c r="O91" s="28" t="str">
        <f>IFERROR(__xludf.DUMMYFUNCTION("IF(B91="""","" "",IMPORTRANGE(B91,""'export'!h11""))")," ")</f>
        <v> </v>
      </c>
      <c r="P91" s="29" t="str">
        <f>IFERROR(__xludf.DUMMYFUNCTION("IF(B91="""","" "",IMPORTRANGE(B91,""'export'!i1""))")," ")</f>
        <v> </v>
      </c>
      <c r="Q91" s="30" t="str">
        <f>IFERROR(__xludf.DUMMYFUNCTION("IF(B91="""","" "",IMPORTRANGE(B91,""'export'!i13""))")," ")</f>
        <v> </v>
      </c>
      <c r="R91" s="31" t="str">
        <f t="shared" si="2"/>
        <v/>
      </c>
      <c r="S91" s="32" t="str">
        <f>IFERROR(__xludf.DUMMYFUNCTION("IF(B91="""","" "",IMPORTRANGE(B91,""'export'!g1""))")," ")</f>
        <v> </v>
      </c>
    </row>
    <row r="92">
      <c r="A92" s="18"/>
      <c r="B92" s="35"/>
      <c r="C92" s="20" t="str">
        <f>IFERROR(__xludf.DUMMYFUNCTION("IF(B92="""","" "",IMPORTRANGE(B92,""'Export'!m1""))")," ")</f>
        <v> </v>
      </c>
      <c r="D92" s="21" t="str">
        <f t="shared" si="1"/>
        <v> ,  ,  </v>
      </c>
      <c r="E92" s="22" t="str">
        <f>IFERROR(__xludf.DUMMYFUNCTION("IF(B92="""","" "",IMPORTRANGE(B92,""'EXPORT'!L1""))")," ")</f>
        <v> </v>
      </c>
      <c r="F92" s="23" t="str">
        <f>IFERROR(__xludf.DUMMYFUNCTION("IF(B92="""","" "",IMPORTRANGE(B92,""'Export'!a1""))")," ")</f>
        <v> </v>
      </c>
      <c r="G92" s="23" t="str">
        <f>IFERROR(__xludf.DUMMYFUNCTION("IF(B92="""","" "",IMPORTRANGE(B92,""'export'!b1""))")," ")</f>
        <v> </v>
      </c>
      <c r="H92" s="23" t="str">
        <f>IFERROR(__xludf.DUMMYFUNCTION("IF(B92="""","" "",IMPORTRANGE(B92,""'export'!c1""))")," ")</f>
        <v> </v>
      </c>
      <c r="I92" s="24" t="str">
        <f>IFERROR(__xludf.DUMMYFUNCTION("IF(B92="""","" "",IMPORTRANGE(B92,""'export'!d1""))")," ")</f>
        <v> </v>
      </c>
      <c r="J92" s="25" t="str">
        <f>IFERROR(__xludf.DUMMYFUNCTION("IF(B92="""","" "",IMPORTRANGE(B92,""'export'!e1""))")," ")</f>
        <v> </v>
      </c>
      <c r="K92" s="25"/>
      <c r="L92" s="21" t="str">
        <f>IFERROR(__xludf.DUMMYFUNCTION("IF(B92="""","" "",IMPORTRANGE(B92,""'export'!f1""))")," ")</f>
        <v> </v>
      </c>
      <c r="M92" s="26" t="str">
        <f>IFERROR(__xludf.DUMMYFUNCTION("IF(B92="""","" "",IMPORTRANGE(B92,""'export'!h3""))")," ")</f>
        <v> </v>
      </c>
      <c r="N92" s="27" t="str">
        <f>IFERROR(__xludf.DUMMYFUNCTION("IF(B92="""","" "",IMPORTRANGE(B92,""'export'!h1""))")," ")</f>
        <v> </v>
      </c>
      <c r="O92" s="28" t="str">
        <f>IFERROR(__xludf.DUMMYFUNCTION("IF(B92="""","" "",IMPORTRANGE(B92,""'export'!h11""))")," ")</f>
        <v> </v>
      </c>
      <c r="P92" s="29" t="str">
        <f>IFERROR(__xludf.DUMMYFUNCTION("IF(B92="""","" "",IMPORTRANGE(B92,""'export'!i1""))")," ")</f>
        <v> </v>
      </c>
      <c r="Q92" s="30" t="str">
        <f>IFERROR(__xludf.DUMMYFUNCTION("IF(B92="""","" "",IMPORTRANGE(B92,""'export'!i13""))")," ")</f>
        <v> </v>
      </c>
      <c r="R92" s="31" t="str">
        <f t="shared" si="2"/>
        <v/>
      </c>
      <c r="S92" s="32" t="str">
        <f>IFERROR(__xludf.DUMMYFUNCTION("IF(B92="""","" "",IMPORTRANGE(B92,""'export'!g1""))")," ")</f>
        <v> </v>
      </c>
    </row>
    <row r="93">
      <c r="A93" s="18"/>
      <c r="B93" s="35"/>
      <c r="C93" s="20" t="str">
        <f>IFERROR(__xludf.DUMMYFUNCTION("IF(B93="""","" "",IMPORTRANGE(B93,""'Export'!m1""))")," ")</f>
        <v> </v>
      </c>
      <c r="D93" s="21" t="str">
        <f t="shared" si="1"/>
        <v> ,  ,  </v>
      </c>
      <c r="E93" s="22" t="str">
        <f>IFERROR(__xludf.DUMMYFUNCTION("IF(B93="""","" "",IMPORTRANGE(B93,""'EXPORT'!L1""))")," ")</f>
        <v> </v>
      </c>
      <c r="F93" s="23" t="str">
        <f>IFERROR(__xludf.DUMMYFUNCTION("IF(B93="""","" "",IMPORTRANGE(B93,""'Export'!a1""))")," ")</f>
        <v> </v>
      </c>
      <c r="G93" s="23" t="str">
        <f>IFERROR(__xludf.DUMMYFUNCTION("IF(B93="""","" "",IMPORTRANGE(B93,""'export'!b1""))")," ")</f>
        <v> </v>
      </c>
      <c r="H93" s="23" t="str">
        <f>IFERROR(__xludf.DUMMYFUNCTION("IF(B93="""","" "",IMPORTRANGE(B93,""'export'!c1""))")," ")</f>
        <v> </v>
      </c>
      <c r="I93" s="24" t="str">
        <f>IFERROR(__xludf.DUMMYFUNCTION("IF(B93="""","" "",IMPORTRANGE(B93,""'export'!d1""))")," ")</f>
        <v> </v>
      </c>
      <c r="J93" s="25" t="str">
        <f>IFERROR(__xludf.DUMMYFUNCTION("IF(B93="""","" "",IMPORTRANGE(B93,""'export'!e1""))")," ")</f>
        <v> </v>
      </c>
      <c r="K93" s="25"/>
      <c r="L93" s="21" t="str">
        <f>IFERROR(__xludf.DUMMYFUNCTION("IF(B93="""","" "",IMPORTRANGE(B93,""'export'!f1""))")," ")</f>
        <v> </v>
      </c>
      <c r="M93" s="26" t="str">
        <f>IFERROR(__xludf.DUMMYFUNCTION("IF(B93="""","" "",IMPORTRANGE(B93,""'export'!h3""))")," ")</f>
        <v> </v>
      </c>
      <c r="N93" s="27" t="str">
        <f>IFERROR(__xludf.DUMMYFUNCTION("IF(B93="""","" "",IMPORTRANGE(B93,""'export'!h1""))")," ")</f>
        <v> </v>
      </c>
      <c r="O93" s="28" t="str">
        <f>IFERROR(__xludf.DUMMYFUNCTION("IF(B93="""","" "",IMPORTRANGE(B93,""'export'!h11""))")," ")</f>
        <v> </v>
      </c>
      <c r="P93" s="29" t="str">
        <f>IFERROR(__xludf.DUMMYFUNCTION("IF(B93="""","" "",IMPORTRANGE(B93,""'export'!i1""))")," ")</f>
        <v> </v>
      </c>
      <c r="Q93" s="30" t="str">
        <f>IFERROR(__xludf.DUMMYFUNCTION("IF(B93="""","" "",IMPORTRANGE(B93,""'export'!i13""))")," ")</f>
        <v> </v>
      </c>
      <c r="R93" s="31" t="str">
        <f t="shared" si="2"/>
        <v/>
      </c>
      <c r="S93" s="32" t="str">
        <f>IFERROR(__xludf.DUMMYFUNCTION("IF(B93="""","" "",IMPORTRANGE(B93,""'export'!g1""))")," ")</f>
        <v> </v>
      </c>
    </row>
    <row r="94">
      <c r="A94" s="18"/>
      <c r="B94" s="35"/>
      <c r="C94" s="20" t="str">
        <f>IFERROR(__xludf.DUMMYFUNCTION("IF(B94="""","" "",IMPORTRANGE(B94,""'Export'!m1""))")," ")</f>
        <v> </v>
      </c>
      <c r="D94" s="21" t="str">
        <f t="shared" si="1"/>
        <v> ,  ,  </v>
      </c>
      <c r="E94" s="22" t="str">
        <f>IFERROR(__xludf.DUMMYFUNCTION("IF(B94="""","" "",IMPORTRANGE(B94,""'EXPORT'!L1""))")," ")</f>
        <v> </v>
      </c>
      <c r="F94" s="23" t="str">
        <f>IFERROR(__xludf.DUMMYFUNCTION("IF(B94="""","" "",IMPORTRANGE(B94,""'Export'!a1""))")," ")</f>
        <v> </v>
      </c>
      <c r="G94" s="23" t="str">
        <f>IFERROR(__xludf.DUMMYFUNCTION("IF(B94="""","" "",IMPORTRANGE(B94,""'export'!b1""))")," ")</f>
        <v> </v>
      </c>
      <c r="H94" s="23" t="str">
        <f>IFERROR(__xludf.DUMMYFUNCTION("IF(B94="""","" "",IMPORTRANGE(B94,""'export'!c1""))")," ")</f>
        <v> </v>
      </c>
      <c r="I94" s="24" t="str">
        <f>IFERROR(__xludf.DUMMYFUNCTION("IF(B94="""","" "",IMPORTRANGE(B94,""'export'!d1""))")," ")</f>
        <v> </v>
      </c>
      <c r="J94" s="25" t="str">
        <f>IFERROR(__xludf.DUMMYFUNCTION("IF(B94="""","" "",IMPORTRANGE(B94,""'export'!e1""))")," ")</f>
        <v> </v>
      </c>
      <c r="K94" s="25"/>
      <c r="L94" s="21" t="str">
        <f>IFERROR(__xludf.DUMMYFUNCTION("IF(B94="""","" "",IMPORTRANGE(B94,""'export'!f1""))")," ")</f>
        <v> </v>
      </c>
      <c r="M94" s="26" t="str">
        <f>IFERROR(__xludf.DUMMYFUNCTION("IF(B94="""","" "",IMPORTRANGE(B94,""'export'!h3""))")," ")</f>
        <v> </v>
      </c>
      <c r="N94" s="27" t="str">
        <f>IFERROR(__xludf.DUMMYFUNCTION("IF(B94="""","" "",IMPORTRANGE(B94,""'export'!h1""))")," ")</f>
        <v> </v>
      </c>
      <c r="O94" s="28" t="str">
        <f>IFERROR(__xludf.DUMMYFUNCTION("IF(B94="""","" "",IMPORTRANGE(B94,""'export'!h11""))")," ")</f>
        <v> </v>
      </c>
      <c r="P94" s="29" t="str">
        <f>IFERROR(__xludf.DUMMYFUNCTION("IF(B94="""","" "",IMPORTRANGE(B94,""'export'!i1""))")," ")</f>
        <v> </v>
      </c>
      <c r="Q94" s="30" t="str">
        <f>IFERROR(__xludf.DUMMYFUNCTION("IF(B94="""","" "",IMPORTRANGE(B94,""'export'!i13""))")," ")</f>
        <v> </v>
      </c>
      <c r="R94" s="31" t="str">
        <f t="shared" si="2"/>
        <v/>
      </c>
      <c r="S94" s="32" t="str">
        <f>IFERROR(__xludf.DUMMYFUNCTION("IF(B94="""","" "",IMPORTRANGE(B94,""'export'!g1""))")," ")</f>
        <v> </v>
      </c>
    </row>
    <row r="95">
      <c r="A95" s="18"/>
      <c r="B95" s="35"/>
      <c r="C95" s="20" t="str">
        <f>IFERROR(__xludf.DUMMYFUNCTION("IF(B95="""","" "",IMPORTRANGE(B95,""'Export'!m1""))")," ")</f>
        <v> </v>
      </c>
      <c r="D95" s="21" t="str">
        <f t="shared" si="1"/>
        <v> ,  ,  </v>
      </c>
      <c r="E95" s="22" t="str">
        <f>IFERROR(__xludf.DUMMYFUNCTION("IF(B95="""","" "",IMPORTRANGE(B95,""'EXPORT'!L1""))")," ")</f>
        <v> </v>
      </c>
      <c r="F95" s="23" t="str">
        <f>IFERROR(__xludf.DUMMYFUNCTION("IF(B95="""","" "",IMPORTRANGE(B95,""'Export'!a1""))")," ")</f>
        <v> </v>
      </c>
      <c r="G95" s="23" t="str">
        <f>IFERROR(__xludf.DUMMYFUNCTION("IF(B95="""","" "",IMPORTRANGE(B95,""'export'!b1""))")," ")</f>
        <v> </v>
      </c>
      <c r="H95" s="23" t="str">
        <f>IFERROR(__xludf.DUMMYFUNCTION("IF(B95="""","" "",IMPORTRANGE(B95,""'export'!c1""))")," ")</f>
        <v> </v>
      </c>
      <c r="I95" s="24" t="str">
        <f>IFERROR(__xludf.DUMMYFUNCTION("IF(B95="""","" "",IMPORTRANGE(B95,""'export'!d1""))")," ")</f>
        <v> </v>
      </c>
      <c r="J95" s="25" t="str">
        <f>IFERROR(__xludf.DUMMYFUNCTION("IF(B95="""","" "",IMPORTRANGE(B95,""'export'!e1""))")," ")</f>
        <v> </v>
      </c>
      <c r="K95" s="25"/>
      <c r="L95" s="21" t="str">
        <f>IFERROR(__xludf.DUMMYFUNCTION("IF(B95="""","" "",IMPORTRANGE(B95,""'export'!f1""))")," ")</f>
        <v> </v>
      </c>
      <c r="M95" s="26" t="str">
        <f>IFERROR(__xludf.DUMMYFUNCTION("IF(B95="""","" "",IMPORTRANGE(B95,""'export'!h3""))")," ")</f>
        <v> </v>
      </c>
      <c r="N95" s="27" t="str">
        <f>IFERROR(__xludf.DUMMYFUNCTION("IF(B95="""","" "",IMPORTRANGE(B95,""'export'!h1""))")," ")</f>
        <v> </v>
      </c>
      <c r="O95" s="28" t="str">
        <f>IFERROR(__xludf.DUMMYFUNCTION("IF(B95="""","" "",IMPORTRANGE(B95,""'export'!h11""))")," ")</f>
        <v> </v>
      </c>
      <c r="P95" s="29" t="str">
        <f>IFERROR(__xludf.DUMMYFUNCTION("IF(B95="""","" "",IMPORTRANGE(B95,""'export'!i1""))")," ")</f>
        <v> </v>
      </c>
      <c r="Q95" s="30" t="str">
        <f>IFERROR(__xludf.DUMMYFUNCTION("IF(B95="""","" "",IMPORTRANGE(B95,""'export'!i13""))")," ")</f>
        <v> </v>
      </c>
      <c r="R95" s="31" t="str">
        <f t="shared" si="2"/>
        <v/>
      </c>
      <c r="S95" s="32" t="str">
        <f>IFERROR(__xludf.DUMMYFUNCTION("IF(B95="""","" "",IMPORTRANGE(B95,""'export'!g1""))")," ")</f>
        <v> </v>
      </c>
    </row>
    <row r="96">
      <c r="A96" s="18"/>
      <c r="B96" s="35"/>
      <c r="C96" s="20" t="str">
        <f>IFERROR(__xludf.DUMMYFUNCTION("IF(B96="""","" "",IMPORTRANGE(B96,""'Export'!m1""))")," ")</f>
        <v> </v>
      </c>
      <c r="D96" s="21" t="str">
        <f t="shared" si="1"/>
        <v> ,  ,  </v>
      </c>
      <c r="E96" s="22" t="str">
        <f>IFERROR(__xludf.DUMMYFUNCTION("IF(B96="""","" "",IMPORTRANGE(B96,""'EXPORT'!L1""))")," ")</f>
        <v> </v>
      </c>
      <c r="F96" s="23" t="str">
        <f>IFERROR(__xludf.DUMMYFUNCTION("IF(B96="""","" "",IMPORTRANGE(B96,""'Export'!a1""))")," ")</f>
        <v> </v>
      </c>
      <c r="G96" s="23" t="str">
        <f>IFERROR(__xludf.DUMMYFUNCTION("IF(B96="""","" "",IMPORTRANGE(B96,""'export'!b1""))")," ")</f>
        <v> </v>
      </c>
      <c r="H96" s="23" t="str">
        <f>IFERROR(__xludf.DUMMYFUNCTION("IF(B96="""","" "",IMPORTRANGE(B96,""'export'!c1""))")," ")</f>
        <v> </v>
      </c>
      <c r="I96" s="24" t="str">
        <f>IFERROR(__xludf.DUMMYFUNCTION("IF(B96="""","" "",IMPORTRANGE(B96,""'export'!d1""))")," ")</f>
        <v> </v>
      </c>
      <c r="J96" s="25" t="str">
        <f>IFERROR(__xludf.DUMMYFUNCTION("IF(B96="""","" "",IMPORTRANGE(B96,""'export'!e1""))")," ")</f>
        <v> </v>
      </c>
      <c r="K96" s="25"/>
      <c r="L96" s="21" t="str">
        <f>IFERROR(__xludf.DUMMYFUNCTION("IF(B96="""","" "",IMPORTRANGE(B96,""'export'!f1""))")," ")</f>
        <v> </v>
      </c>
      <c r="M96" s="26" t="str">
        <f>IFERROR(__xludf.DUMMYFUNCTION("IF(B96="""","" "",IMPORTRANGE(B96,""'export'!h3""))")," ")</f>
        <v> </v>
      </c>
      <c r="N96" s="27" t="str">
        <f>IFERROR(__xludf.DUMMYFUNCTION("IF(B96="""","" "",IMPORTRANGE(B96,""'export'!h1""))")," ")</f>
        <v> </v>
      </c>
      <c r="O96" s="28" t="str">
        <f>IFERROR(__xludf.DUMMYFUNCTION("IF(B96="""","" "",IMPORTRANGE(B96,""'export'!h11""))")," ")</f>
        <v> </v>
      </c>
      <c r="P96" s="29" t="str">
        <f>IFERROR(__xludf.DUMMYFUNCTION("IF(B96="""","" "",IMPORTRANGE(B96,""'export'!i1""))")," ")</f>
        <v> </v>
      </c>
      <c r="Q96" s="30" t="str">
        <f>IFERROR(__xludf.DUMMYFUNCTION("IF(B96="""","" "",IMPORTRANGE(B96,""'export'!i13""))")," ")</f>
        <v> </v>
      </c>
      <c r="R96" s="31" t="str">
        <f t="shared" si="2"/>
        <v/>
      </c>
      <c r="S96" s="32" t="str">
        <f>IFERROR(__xludf.DUMMYFUNCTION("IF(B96="""","" "",IMPORTRANGE(B96,""'export'!g1""))")," ")</f>
        <v> </v>
      </c>
    </row>
    <row r="97">
      <c r="A97" s="18"/>
      <c r="B97" s="35"/>
      <c r="C97" s="20" t="str">
        <f>IFERROR(__xludf.DUMMYFUNCTION("IF(B97="""","" "",IMPORTRANGE(B97,""'Export'!m1""))")," ")</f>
        <v> </v>
      </c>
      <c r="D97" s="21" t="str">
        <f t="shared" si="1"/>
        <v> ,  ,  </v>
      </c>
      <c r="E97" s="22" t="str">
        <f>IFERROR(__xludf.DUMMYFUNCTION("IF(B97="""","" "",IMPORTRANGE(B97,""'EXPORT'!L1""))")," ")</f>
        <v> </v>
      </c>
      <c r="F97" s="23" t="str">
        <f>IFERROR(__xludf.DUMMYFUNCTION("IF(B97="""","" "",IMPORTRANGE(B97,""'Export'!a1""))")," ")</f>
        <v> </v>
      </c>
      <c r="G97" s="23" t="str">
        <f>IFERROR(__xludf.DUMMYFUNCTION("IF(B97="""","" "",IMPORTRANGE(B97,""'export'!b1""))")," ")</f>
        <v> </v>
      </c>
      <c r="H97" s="23" t="str">
        <f>IFERROR(__xludf.DUMMYFUNCTION("IF(B97="""","" "",IMPORTRANGE(B97,""'export'!c1""))")," ")</f>
        <v> </v>
      </c>
      <c r="I97" s="24" t="str">
        <f>IFERROR(__xludf.DUMMYFUNCTION("IF(B97="""","" "",IMPORTRANGE(B97,""'export'!d1""))")," ")</f>
        <v> </v>
      </c>
      <c r="J97" s="25" t="str">
        <f>IFERROR(__xludf.DUMMYFUNCTION("IF(B97="""","" "",IMPORTRANGE(B97,""'export'!e1""))")," ")</f>
        <v> </v>
      </c>
      <c r="K97" s="25"/>
      <c r="L97" s="21" t="str">
        <f>IFERROR(__xludf.DUMMYFUNCTION("IF(B97="""","" "",IMPORTRANGE(B97,""'export'!f1""))")," ")</f>
        <v> </v>
      </c>
      <c r="M97" s="26" t="str">
        <f>IFERROR(__xludf.DUMMYFUNCTION("IF(B97="""","" "",IMPORTRANGE(B97,""'export'!h3""))")," ")</f>
        <v> </v>
      </c>
      <c r="N97" s="27" t="str">
        <f>IFERROR(__xludf.DUMMYFUNCTION("IF(B97="""","" "",IMPORTRANGE(B97,""'export'!h1""))")," ")</f>
        <v> </v>
      </c>
      <c r="O97" s="28" t="str">
        <f>IFERROR(__xludf.DUMMYFUNCTION("IF(B97="""","" "",IMPORTRANGE(B97,""'export'!h11""))")," ")</f>
        <v> </v>
      </c>
      <c r="P97" s="29" t="str">
        <f>IFERROR(__xludf.DUMMYFUNCTION("IF(B97="""","" "",IMPORTRANGE(B97,""'export'!i1""))")," ")</f>
        <v> </v>
      </c>
      <c r="Q97" s="30" t="str">
        <f>IFERROR(__xludf.DUMMYFUNCTION("IF(B97="""","" "",IMPORTRANGE(B97,""'export'!i13""))")," ")</f>
        <v> </v>
      </c>
      <c r="R97" s="31" t="str">
        <f t="shared" si="2"/>
        <v/>
      </c>
      <c r="S97" s="32" t="str">
        <f>IFERROR(__xludf.DUMMYFUNCTION("IF(B97="""","" "",IMPORTRANGE(B97,""'export'!g1""))")," ")</f>
        <v> </v>
      </c>
    </row>
    <row r="98">
      <c r="A98" s="18"/>
      <c r="B98" s="35"/>
      <c r="C98" s="20" t="str">
        <f>IFERROR(__xludf.DUMMYFUNCTION("IF(B98="""","" "",IMPORTRANGE(B98,""'Export'!m1""))")," ")</f>
        <v> </v>
      </c>
      <c r="D98" s="21" t="str">
        <f t="shared" si="1"/>
        <v> ,  ,  </v>
      </c>
      <c r="E98" s="22" t="str">
        <f>IFERROR(__xludf.DUMMYFUNCTION("IF(B98="""","" "",IMPORTRANGE(B98,""'EXPORT'!L1""))")," ")</f>
        <v> </v>
      </c>
      <c r="F98" s="23" t="str">
        <f>IFERROR(__xludf.DUMMYFUNCTION("IF(B98="""","" "",IMPORTRANGE(B98,""'Export'!a1""))")," ")</f>
        <v> </v>
      </c>
      <c r="G98" s="23" t="str">
        <f>IFERROR(__xludf.DUMMYFUNCTION("IF(B98="""","" "",IMPORTRANGE(B98,""'export'!b1""))")," ")</f>
        <v> </v>
      </c>
      <c r="H98" s="23" t="str">
        <f>IFERROR(__xludf.DUMMYFUNCTION("IF(B98="""","" "",IMPORTRANGE(B98,""'export'!c1""))")," ")</f>
        <v> </v>
      </c>
      <c r="I98" s="24" t="str">
        <f>IFERROR(__xludf.DUMMYFUNCTION("IF(B98="""","" "",IMPORTRANGE(B98,""'export'!d1""))")," ")</f>
        <v> </v>
      </c>
      <c r="J98" s="25" t="str">
        <f>IFERROR(__xludf.DUMMYFUNCTION("IF(B98="""","" "",IMPORTRANGE(B98,""'export'!e1""))")," ")</f>
        <v> </v>
      </c>
      <c r="K98" s="25"/>
      <c r="L98" s="21" t="str">
        <f>IFERROR(__xludf.DUMMYFUNCTION("IF(B98="""","" "",IMPORTRANGE(B98,""'export'!f1""))")," ")</f>
        <v> </v>
      </c>
      <c r="M98" s="26" t="str">
        <f>IFERROR(__xludf.DUMMYFUNCTION("IF(B98="""","" "",IMPORTRANGE(B98,""'export'!h3""))")," ")</f>
        <v> </v>
      </c>
      <c r="N98" s="27" t="str">
        <f>IFERROR(__xludf.DUMMYFUNCTION("IF(B98="""","" "",IMPORTRANGE(B98,""'export'!h1""))")," ")</f>
        <v> </v>
      </c>
      <c r="O98" s="28" t="str">
        <f>IFERROR(__xludf.DUMMYFUNCTION("IF(B98="""","" "",IMPORTRANGE(B98,""'export'!h11""))")," ")</f>
        <v> </v>
      </c>
      <c r="P98" s="29" t="str">
        <f>IFERROR(__xludf.DUMMYFUNCTION("IF(B98="""","" "",IMPORTRANGE(B98,""'export'!i1""))")," ")</f>
        <v> </v>
      </c>
      <c r="Q98" s="30" t="str">
        <f>IFERROR(__xludf.DUMMYFUNCTION("IF(B98="""","" "",IMPORTRANGE(B98,""'export'!i13""))")," ")</f>
        <v> </v>
      </c>
      <c r="R98" s="31" t="str">
        <f t="shared" si="2"/>
        <v/>
      </c>
      <c r="S98" s="32" t="str">
        <f>IFERROR(__xludf.DUMMYFUNCTION("IF(B98="""","" "",IMPORTRANGE(B98,""'export'!g1""))")," ")</f>
        <v> </v>
      </c>
    </row>
    <row r="99">
      <c r="A99" s="18"/>
      <c r="B99" s="35"/>
      <c r="C99" s="20" t="str">
        <f>IFERROR(__xludf.DUMMYFUNCTION("IF(B99="""","" "",IMPORTRANGE(B99,""'Export'!m1""))")," ")</f>
        <v> </v>
      </c>
      <c r="D99" s="21" t="str">
        <f t="shared" si="1"/>
        <v> ,  ,  </v>
      </c>
      <c r="E99" s="22" t="str">
        <f>IFERROR(__xludf.DUMMYFUNCTION("IF(B99="""","" "",IMPORTRANGE(B99,""'EXPORT'!L1""))")," ")</f>
        <v> </v>
      </c>
      <c r="F99" s="23" t="str">
        <f>IFERROR(__xludf.DUMMYFUNCTION("IF(B99="""","" "",IMPORTRANGE(B99,""'Export'!a1""))")," ")</f>
        <v> </v>
      </c>
      <c r="G99" s="23" t="str">
        <f>IFERROR(__xludf.DUMMYFUNCTION("IF(B99="""","" "",IMPORTRANGE(B99,""'export'!b1""))")," ")</f>
        <v> </v>
      </c>
      <c r="H99" s="23" t="str">
        <f>IFERROR(__xludf.DUMMYFUNCTION("IF(B99="""","" "",IMPORTRANGE(B99,""'export'!c1""))")," ")</f>
        <v> </v>
      </c>
      <c r="I99" s="24" t="str">
        <f>IFERROR(__xludf.DUMMYFUNCTION("IF(B99="""","" "",IMPORTRANGE(B99,""'export'!d1""))")," ")</f>
        <v> </v>
      </c>
      <c r="J99" s="25" t="str">
        <f>IFERROR(__xludf.DUMMYFUNCTION("IF(B99="""","" "",IMPORTRANGE(B99,""'export'!e1""))")," ")</f>
        <v> </v>
      </c>
      <c r="K99" s="25"/>
      <c r="L99" s="21" t="str">
        <f>IFERROR(__xludf.DUMMYFUNCTION("IF(B99="""","" "",IMPORTRANGE(B99,""'export'!f1""))")," ")</f>
        <v> </v>
      </c>
      <c r="M99" s="26" t="str">
        <f>IFERROR(__xludf.DUMMYFUNCTION("IF(B99="""","" "",IMPORTRANGE(B99,""'export'!h3""))")," ")</f>
        <v> </v>
      </c>
      <c r="N99" s="27" t="str">
        <f>IFERROR(__xludf.DUMMYFUNCTION("IF(B99="""","" "",IMPORTRANGE(B99,""'export'!h1""))")," ")</f>
        <v> </v>
      </c>
      <c r="O99" s="28" t="str">
        <f>IFERROR(__xludf.DUMMYFUNCTION("IF(B99="""","" "",IMPORTRANGE(B99,""'export'!h11""))")," ")</f>
        <v> </v>
      </c>
      <c r="P99" s="29" t="str">
        <f>IFERROR(__xludf.DUMMYFUNCTION("IF(B99="""","" "",IMPORTRANGE(B99,""'export'!i1""))")," ")</f>
        <v> </v>
      </c>
      <c r="Q99" s="30" t="str">
        <f>IFERROR(__xludf.DUMMYFUNCTION("IF(B99="""","" "",IMPORTRANGE(B99,""'export'!i13""))")," ")</f>
        <v> </v>
      </c>
      <c r="R99" s="31" t="str">
        <f t="shared" si="2"/>
        <v/>
      </c>
      <c r="S99" s="32" t="str">
        <f>IFERROR(__xludf.DUMMYFUNCTION("IF(B99="""","" "",IMPORTRANGE(B99,""'export'!g1""))")," ")</f>
        <v> </v>
      </c>
    </row>
    <row r="100">
      <c r="A100" s="18"/>
      <c r="B100" s="35"/>
      <c r="C100" s="20" t="str">
        <f>IFERROR(__xludf.DUMMYFUNCTION("IF(B100="""","" "",IMPORTRANGE(B100,""'Export'!m1""))")," ")</f>
        <v> </v>
      </c>
      <c r="D100" s="21" t="str">
        <f t="shared" si="1"/>
        <v> ,  ,  </v>
      </c>
      <c r="E100" s="22" t="str">
        <f>IFERROR(__xludf.DUMMYFUNCTION("IF(B100="""","" "",IMPORTRANGE(B100,""'EXPORT'!L1""))")," ")</f>
        <v> </v>
      </c>
      <c r="F100" s="23" t="str">
        <f>IFERROR(__xludf.DUMMYFUNCTION("IF(B100="""","" "",IMPORTRANGE(B100,""'Export'!a1""))")," ")</f>
        <v> </v>
      </c>
      <c r="G100" s="23" t="str">
        <f>IFERROR(__xludf.DUMMYFUNCTION("IF(B100="""","" "",IMPORTRANGE(B100,""'export'!b1""))")," ")</f>
        <v> </v>
      </c>
      <c r="H100" s="23" t="str">
        <f>IFERROR(__xludf.DUMMYFUNCTION("IF(B100="""","" "",IMPORTRANGE(B100,""'export'!c1""))")," ")</f>
        <v> </v>
      </c>
      <c r="I100" s="24" t="str">
        <f>IFERROR(__xludf.DUMMYFUNCTION("IF(B100="""","" "",IMPORTRANGE(B100,""'export'!d1""))")," ")</f>
        <v> </v>
      </c>
      <c r="J100" s="25" t="str">
        <f>IFERROR(__xludf.DUMMYFUNCTION("IF(B100="""","" "",IMPORTRANGE(B100,""'export'!e1""))")," ")</f>
        <v> </v>
      </c>
      <c r="K100" s="25"/>
      <c r="L100" s="21" t="str">
        <f>IFERROR(__xludf.DUMMYFUNCTION("IF(B100="""","" "",IMPORTRANGE(B100,""'export'!f1""))")," ")</f>
        <v> </v>
      </c>
      <c r="M100" s="26" t="str">
        <f>IFERROR(__xludf.DUMMYFUNCTION("IF(B100="""","" "",IMPORTRANGE(B100,""'export'!h3""))")," ")</f>
        <v> </v>
      </c>
      <c r="N100" s="27" t="str">
        <f>IFERROR(__xludf.DUMMYFUNCTION("IF(B100="""","" "",IMPORTRANGE(B100,""'export'!h1""))")," ")</f>
        <v> </v>
      </c>
      <c r="O100" s="28" t="str">
        <f>IFERROR(__xludf.DUMMYFUNCTION("IF(B100="""","" "",IMPORTRANGE(B100,""'export'!h11""))")," ")</f>
        <v> </v>
      </c>
      <c r="P100" s="29" t="str">
        <f>IFERROR(__xludf.DUMMYFUNCTION("IF(B100="""","" "",IMPORTRANGE(B100,""'export'!i1""))")," ")</f>
        <v> </v>
      </c>
      <c r="Q100" s="30" t="str">
        <f>IFERROR(__xludf.DUMMYFUNCTION("IF(B100="""","" "",IMPORTRANGE(B100,""'export'!i13""))")," ")</f>
        <v> </v>
      </c>
      <c r="R100" s="31" t="str">
        <f t="shared" si="2"/>
        <v/>
      </c>
      <c r="S100" s="32" t="str">
        <f>IFERROR(__xludf.DUMMYFUNCTION("IF(B100="""","" "",IMPORTRANGE(B100,""'export'!g1""))")," ")</f>
        <v> </v>
      </c>
    </row>
    <row r="101">
      <c r="A101" s="18"/>
      <c r="B101" s="35"/>
      <c r="C101" s="20" t="str">
        <f>IFERROR(__xludf.DUMMYFUNCTION("IF(B101="""","" "",IMPORTRANGE(B101,""'Export'!m1""))")," ")</f>
        <v> </v>
      </c>
      <c r="D101" s="21" t="str">
        <f t="shared" si="1"/>
        <v> ,  ,  </v>
      </c>
      <c r="E101" s="22" t="str">
        <f>IFERROR(__xludf.DUMMYFUNCTION("IF(B101="""","" "",IMPORTRANGE(B101,""'EXPORT'!L1""))")," ")</f>
        <v> </v>
      </c>
      <c r="F101" s="23" t="str">
        <f>IFERROR(__xludf.DUMMYFUNCTION("IF(B101="""","" "",IMPORTRANGE(B101,""'Export'!a1""))")," ")</f>
        <v> </v>
      </c>
      <c r="G101" s="23" t="str">
        <f>IFERROR(__xludf.DUMMYFUNCTION("IF(B101="""","" "",IMPORTRANGE(B101,""'export'!b1""))")," ")</f>
        <v> </v>
      </c>
      <c r="H101" s="23" t="str">
        <f>IFERROR(__xludf.DUMMYFUNCTION("IF(B101="""","" "",IMPORTRANGE(B101,""'export'!c1""))")," ")</f>
        <v> </v>
      </c>
      <c r="I101" s="24" t="str">
        <f>IFERROR(__xludf.DUMMYFUNCTION("IF(B101="""","" "",IMPORTRANGE(B101,""'export'!d1""))")," ")</f>
        <v> </v>
      </c>
      <c r="J101" s="25" t="str">
        <f>IFERROR(__xludf.DUMMYFUNCTION("IF(B101="""","" "",IMPORTRANGE(B101,""'export'!e1""))")," ")</f>
        <v> </v>
      </c>
      <c r="K101" s="25"/>
      <c r="L101" s="21" t="str">
        <f>IFERROR(__xludf.DUMMYFUNCTION("IF(B101="""","" "",IMPORTRANGE(B101,""'export'!f1""))")," ")</f>
        <v> </v>
      </c>
      <c r="M101" s="26" t="str">
        <f>IFERROR(__xludf.DUMMYFUNCTION("IF(B101="""","" "",IMPORTRANGE(B101,""'export'!h3""))")," ")</f>
        <v> </v>
      </c>
      <c r="N101" s="27" t="str">
        <f>IFERROR(__xludf.DUMMYFUNCTION("IF(B101="""","" "",IMPORTRANGE(B101,""'export'!h1""))")," ")</f>
        <v> </v>
      </c>
      <c r="O101" s="28" t="str">
        <f>IFERROR(__xludf.DUMMYFUNCTION("IF(B101="""","" "",IMPORTRANGE(B101,""'export'!h11""))")," ")</f>
        <v> </v>
      </c>
      <c r="P101" s="29" t="str">
        <f>IFERROR(__xludf.DUMMYFUNCTION("IF(B101="""","" "",IMPORTRANGE(B101,""'export'!i1""))")," ")</f>
        <v> </v>
      </c>
      <c r="Q101" s="30" t="str">
        <f>IFERROR(__xludf.DUMMYFUNCTION("IF(B101="""","" "",IMPORTRANGE(B101,""'export'!i13""))")," ")</f>
        <v> </v>
      </c>
      <c r="R101" s="31" t="str">
        <f t="shared" si="2"/>
        <v/>
      </c>
      <c r="S101" s="32" t="str">
        <f>IFERROR(__xludf.DUMMYFUNCTION("IF(B101="""","" "",IMPORTRANGE(B101,""'export'!g1""))")," ")</f>
        <v> </v>
      </c>
    </row>
    <row r="102">
      <c r="A102" s="18"/>
      <c r="B102" s="35"/>
      <c r="C102" s="20" t="str">
        <f>IFERROR(__xludf.DUMMYFUNCTION("IF(B102="""","" "",IMPORTRANGE(B102,""'Export'!m1""))")," ")</f>
        <v> </v>
      </c>
      <c r="D102" s="21" t="str">
        <f t="shared" si="1"/>
        <v> ,  ,  </v>
      </c>
      <c r="E102" s="22" t="str">
        <f>IFERROR(__xludf.DUMMYFUNCTION("IF(B102="""","" "",IMPORTRANGE(B102,""'EXPORT'!L1""))")," ")</f>
        <v> </v>
      </c>
      <c r="F102" s="23" t="str">
        <f>IFERROR(__xludf.DUMMYFUNCTION("IF(B102="""","" "",IMPORTRANGE(B102,""'Export'!a1""))")," ")</f>
        <v> </v>
      </c>
      <c r="G102" s="23" t="str">
        <f>IFERROR(__xludf.DUMMYFUNCTION("IF(B102="""","" "",IMPORTRANGE(B102,""'export'!b1""))")," ")</f>
        <v> </v>
      </c>
      <c r="H102" s="23" t="str">
        <f>IFERROR(__xludf.DUMMYFUNCTION("IF(B102="""","" "",IMPORTRANGE(B102,""'export'!c1""))")," ")</f>
        <v> </v>
      </c>
      <c r="I102" s="24" t="str">
        <f>IFERROR(__xludf.DUMMYFUNCTION("IF(B102="""","" "",IMPORTRANGE(B102,""'export'!d1""))")," ")</f>
        <v> </v>
      </c>
      <c r="J102" s="25" t="str">
        <f>IFERROR(__xludf.DUMMYFUNCTION("IF(B102="""","" "",IMPORTRANGE(B102,""'export'!e1""))")," ")</f>
        <v> </v>
      </c>
      <c r="K102" s="25"/>
      <c r="L102" s="21" t="str">
        <f>IFERROR(__xludf.DUMMYFUNCTION("IF(B102="""","" "",IMPORTRANGE(B102,""'export'!f1""))")," ")</f>
        <v> </v>
      </c>
      <c r="M102" s="26" t="str">
        <f>IFERROR(__xludf.DUMMYFUNCTION("IF(B102="""","" "",IMPORTRANGE(B102,""'export'!h3""))")," ")</f>
        <v> </v>
      </c>
      <c r="N102" s="27" t="str">
        <f>IFERROR(__xludf.DUMMYFUNCTION("IF(B102="""","" "",IMPORTRANGE(B102,""'export'!h1""))")," ")</f>
        <v> </v>
      </c>
      <c r="O102" s="28" t="str">
        <f>IFERROR(__xludf.DUMMYFUNCTION("IF(B102="""","" "",IMPORTRANGE(B102,""'export'!h11""))")," ")</f>
        <v> </v>
      </c>
      <c r="P102" s="29" t="str">
        <f>IFERROR(__xludf.DUMMYFUNCTION("IF(B102="""","" "",IMPORTRANGE(B102,""'export'!i1""))")," ")</f>
        <v> </v>
      </c>
      <c r="Q102" s="30" t="str">
        <f>IFERROR(__xludf.DUMMYFUNCTION("IF(B102="""","" "",IMPORTRANGE(B102,""'export'!i13""))")," ")</f>
        <v> </v>
      </c>
      <c r="R102" s="31" t="str">
        <f t="shared" si="2"/>
        <v/>
      </c>
      <c r="S102" s="32" t="str">
        <f>IFERROR(__xludf.DUMMYFUNCTION("IF(B102="""","" "",IMPORTRANGE(B102,""'export'!g1""))")," ")</f>
        <v> </v>
      </c>
    </row>
    <row r="103">
      <c r="A103" s="18"/>
      <c r="B103" s="35"/>
      <c r="C103" s="20" t="str">
        <f>IFERROR(__xludf.DUMMYFUNCTION("IF(B103="""","" "",IMPORTRANGE(B103,""'Export'!m1""))")," ")</f>
        <v> </v>
      </c>
      <c r="D103" s="21" t="str">
        <f t="shared" si="1"/>
        <v> ,  ,  </v>
      </c>
      <c r="E103" s="22" t="str">
        <f>IFERROR(__xludf.DUMMYFUNCTION("IF(B103="""","" "",IMPORTRANGE(B103,""'EXPORT'!L1""))")," ")</f>
        <v> </v>
      </c>
      <c r="F103" s="23" t="str">
        <f>IFERROR(__xludf.DUMMYFUNCTION("IF(B103="""","" "",IMPORTRANGE(B103,""'Export'!a1""))")," ")</f>
        <v> </v>
      </c>
      <c r="G103" s="23" t="str">
        <f>IFERROR(__xludf.DUMMYFUNCTION("IF(B103="""","" "",IMPORTRANGE(B103,""'export'!b1""))")," ")</f>
        <v> </v>
      </c>
      <c r="H103" s="23" t="str">
        <f>IFERROR(__xludf.DUMMYFUNCTION("IF(B103="""","" "",IMPORTRANGE(B103,""'export'!c1""))")," ")</f>
        <v> </v>
      </c>
      <c r="I103" s="24" t="str">
        <f>IFERROR(__xludf.DUMMYFUNCTION("IF(B103="""","" "",IMPORTRANGE(B103,""'export'!d1""))")," ")</f>
        <v> </v>
      </c>
      <c r="J103" s="25" t="str">
        <f>IFERROR(__xludf.DUMMYFUNCTION("IF(B103="""","" "",IMPORTRANGE(B103,""'export'!e1""))")," ")</f>
        <v> </v>
      </c>
      <c r="K103" s="25"/>
      <c r="L103" s="21" t="str">
        <f>IFERROR(__xludf.DUMMYFUNCTION("IF(B103="""","" "",IMPORTRANGE(B103,""'export'!f1""))")," ")</f>
        <v> </v>
      </c>
      <c r="M103" s="26" t="str">
        <f>IFERROR(__xludf.DUMMYFUNCTION("IF(B103="""","" "",IMPORTRANGE(B103,""'export'!h3""))")," ")</f>
        <v> </v>
      </c>
      <c r="N103" s="27" t="str">
        <f>IFERROR(__xludf.DUMMYFUNCTION("IF(B103="""","" "",IMPORTRANGE(B103,""'export'!h1""))")," ")</f>
        <v> </v>
      </c>
      <c r="O103" s="28" t="str">
        <f>IFERROR(__xludf.DUMMYFUNCTION("IF(B103="""","" "",IMPORTRANGE(B103,""'export'!h11""))")," ")</f>
        <v> </v>
      </c>
      <c r="P103" s="29" t="str">
        <f>IFERROR(__xludf.DUMMYFUNCTION("IF(B103="""","" "",IMPORTRANGE(B103,""'export'!i1""))")," ")</f>
        <v> </v>
      </c>
      <c r="Q103" s="30" t="str">
        <f>IFERROR(__xludf.DUMMYFUNCTION("IF(B103="""","" "",IMPORTRANGE(B103,""'export'!i13""))")," ")</f>
        <v> </v>
      </c>
      <c r="R103" s="31" t="str">
        <f t="shared" si="2"/>
        <v/>
      </c>
      <c r="S103" s="32" t="str">
        <f>IFERROR(__xludf.DUMMYFUNCTION("IF(B103="""","" "",IMPORTRANGE(B103,""'export'!g1""))")," ")</f>
        <v> </v>
      </c>
    </row>
    <row r="104">
      <c r="A104" s="18"/>
      <c r="B104" s="35"/>
      <c r="C104" s="20" t="str">
        <f>IFERROR(__xludf.DUMMYFUNCTION("IF(B104="""","" "",IMPORTRANGE(B104,""'Export'!m1""))")," ")</f>
        <v> </v>
      </c>
      <c r="D104" s="21" t="str">
        <f t="shared" si="1"/>
        <v> ,  ,  </v>
      </c>
      <c r="E104" s="22" t="str">
        <f>IFERROR(__xludf.DUMMYFUNCTION("IF(B104="""","" "",IMPORTRANGE(B104,""'EXPORT'!L1""))")," ")</f>
        <v> </v>
      </c>
      <c r="F104" s="23" t="str">
        <f>IFERROR(__xludf.DUMMYFUNCTION("IF(B104="""","" "",IMPORTRANGE(B104,""'Export'!a1""))")," ")</f>
        <v> </v>
      </c>
      <c r="G104" s="23" t="str">
        <f>IFERROR(__xludf.DUMMYFUNCTION("IF(B104="""","" "",IMPORTRANGE(B104,""'export'!b1""))")," ")</f>
        <v> </v>
      </c>
      <c r="H104" s="23" t="str">
        <f>IFERROR(__xludf.DUMMYFUNCTION("IF(B104="""","" "",IMPORTRANGE(B104,""'export'!c1""))")," ")</f>
        <v> </v>
      </c>
      <c r="I104" s="24" t="str">
        <f>IFERROR(__xludf.DUMMYFUNCTION("IF(B104="""","" "",IMPORTRANGE(B104,""'export'!d1""))")," ")</f>
        <v> </v>
      </c>
      <c r="J104" s="25" t="str">
        <f>IFERROR(__xludf.DUMMYFUNCTION("IF(B104="""","" "",IMPORTRANGE(B104,""'export'!e1""))")," ")</f>
        <v> </v>
      </c>
      <c r="K104" s="25"/>
      <c r="L104" s="21" t="str">
        <f>IFERROR(__xludf.DUMMYFUNCTION("IF(B104="""","" "",IMPORTRANGE(B104,""'export'!f1""))")," ")</f>
        <v> </v>
      </c>
      <c r="M104" s="26" t="str">
        <f>IFERROR(__xludf.DUMMYFUNCTION("IF(B104="""","" "",IMPORTRANGE(B104,""'export'!h3""))")," ")</f>
        <v> </v>
      </c>
      <c r="N104" s="27" t="str">
        <f>IFERROR(__xludf.DUMMYFUNCTION("IF(B104="""","" "",IMPORTRANGE(B104,""'export'!h1""))")," ")</f>
        <v> </v>
      </c>
      <c r="O104" s="28" t="str">
        <f>IFERROR(__xludf.DUMMYFUNCTION("IF(B104="""","" "",IMPORTRANGE(B104,""'export'!h11""))")," ")</f>
        <v> </v>
      </c>
      <c r="P104" s="29" t="str">
        <f>IFERROR(__xludf.DUMMYFUNCTION("IF(B104="""","" "",IMPORTRANGE(B104,""'export'!i1""))")," ")</f>
        <v> </v>
      </c>
      <c r="Q104" s="30" t="str">
        <f>IFERROR(__xludf.DUMMYFUNCTION("IF(B104="""","" "",IMPORTRANGE(B104,""'export'!i13""))")," ")</f>
        <v> </v>
      </c>
      <c r="R104" s="31" t="str">
        <f t="shared" si="2"/>
        <v/>
      </c>
      <c r="S104" s="32" t="str">
        <f>IFERROR(__xludf.DUMMYFUNCTION("IF(B104="""","" "",IMPORTRANGE(B104,""'export'!g1""))")," ")</f>
        <v> </v>
      </c>
    </row>
    <row r="105">
      <c r="A105" s="18"/>
      <c r="B105" s="35"/>
      <c r="C105" s="20" t="str">
        <f>IFERROR(__xludf.DUMMYFUNCTION("IF(B105="""","" "",IMPORTRANGE(B105,""'Export'!m1""))")," ")</f>
        <v> </v>
      </c>
      <c r="D105" s="21" t="str">
        <f t="shared" si="1"/>
        <v> ,  ,  </v>
      </c>
      <c r="E105" s="22" t="str">
        <f>IFERROR(__xludf.DUMMYFUNCTION("IF(B105="""","" "",IMPORTRANGE(B105,""'EXPORT'!L1""))")," ")</f>
        <v> </v>
      </c>
      <c r="F105" s="23" t="str">
        <f>IFERROR(__xludf.DUMMYFUNCTION("IF(B105="""","" "",IMPORTRANGE(B105,""'Export'!a1""))")," ")</f>
        <v> </v>
      </c>
      <c r="G105" s="23" t="str">
        <f>IFERROR(__xludf.DUMMYFUNCTION("IF(B105="""","" "",IMPORTRANGE(B105,""'export'!b1""))")," ")</f>
        <v> </v>
      </c>
      <c r="H105" s="23" t="str">
        <f>IFERROR(__xludf.DUMMYFUNCTION("IF(B105="""","" "",IMPORTRANGE(B105,""'export'!c1""))")," ")</f>
        <v> </v>
      </c>
      <c r="I105" s="24" t="str">
        <f>IFERROR(__xludf.DUMMYFUNCTION("IF(B105="""","" "",IMPORTRANGE(B105,""'export'!d1""))")," ")</f>
        <v> </v>
      </c>
      <c r="J105" s="25" t="str">
        <f>IFERROR(__xludf.DUMMYFUNCTION("IF(B105="""","" "",IMPORTRANGE(B105,""'export'!e1""))")," ")</f>
        <v> </v>
      </c>
      <c r="K105" s="25"/>
      <c r="L105" s="21" t="str">
        <f>IFERROR(__xludf.DUMMYFUNCTION("IF(B105="""","" "",IMPORTRANGE(B105,""'export'!f1""))")," ")</f>
        <v> </v>
      </c>
      <c r="M105" s="26" t="str">
        <f>IFERROR(__xludf.DUMMYFUNCTION("IF(B105="""","" "",IMPORTRANGE(B105,""'export'!h3""))")," ")</f>
        <v> </v>
      </c>
      <c r="N105" s="27" t="str">
        <f>IFERROR(__xludf.DUMMYFUNCTION("IF(B105="""","" "",IMPORTRANGE(B105,""'export'!h1""))")," ")</f>
        <v> </v>
      </c>
      <c r="O105" s="28" t="str">
        <f>IFERROR(__xludf.DUMMYFUNCTION("IF(B105="""","" "",IMPORTRANGE(B105,""'export'!h11""))")," ")</f>
        <v> </v>
      </c>
      <c r="P105" s="29" t="str">
        <f>IFERROR(__xludf.DUMMYFUNCTION("IF(B105="""","" "",IMPORTRANGE(B105,""'export'!i1""))")," ")</f>
        <v> </v>
      </c>
      <c r="Q105" s="30" t="str">
        <f>IFERROR(__xludf.DUMMYFUNCTION("IF(B105="""","" "",IMPORTRANGE(B105,""'export'!i13""))")," ")</f>
        <v> </v>
      </c>
      <c r="R105" s="31" t="str">
        <f t="shared" si="2"/>
        <v/>
      </c>
      <c r="S105" s="32" t="str">
        <f>IFERROR(__xludf.DUMMYFUNCTION("IF(B105="""","" "",IMPORTRANGE(B105,""'export'!g1""))")," ")</f>
        <v> </v>
      </c>
    </row>
    <row r="106">
      <c r="A106" s="18"/>
      <c r="B106" s="35"/>
      <c r="C106" s="20" t="str">
        <f>IFERROR(__xludf.DUMMYFUNCTION("IF(B106="""","" "",IMPORTRANGE(B106,""'Export'!m1""))")," ")</f>
        <v> </v>
      </c>
      <c r="D106" s="21" t="str">
        <f t="shared" si="1"/>
        <v> ,  ,  </v>
      </c>
      <c r="E106" s="22" t="str">
        <f>IFERROR(__xludf.DUMMYFUNCTION("IF(B106="""","" "",IMPORTRANGE(B106,""'EXPORT'!L1""))")," ")</f>
        <v> </v>
      </c>
      <c r="F106" s="23" t="str">
        <f>IFERROR(__xludf.DUMMYFUNCTION("IF(B106="""","" "",IMPORTRANGE(B106,""'Export'!a1""))")," ")</f>
        <v> </v>
      </c>
      <c r="G106" s="23" t="str">
        <f>IFERROR(__xludf.DUMMYFUNCTION("IF(B106="""","" "",IMPORTRANGE(B106,""'export'!b1""))")," ")</f>
        <v> </v>
      </c>
      <c r="H106" s="23" t="str">
        <f>IFERROR(__xludf.DUMMYFUNCTION("IF(B106="""","" "",IMPORTRANGE(B106,""'export'!c1""))")," ")</f>
        <v> </v>
      </c>
      <c r="I106" s="24" t="str">
        <f>IFERROR(__xludf.DUMMYFUNCTION("IF(B106="""","" "",IMPORTRANGE(B106,""'export'!d1""))")," ")</f>
        <v> </v>
      </c>
      <c r="J106" s="25" t="str">
        <f>IFERROR(__xludf.DUMMYFUNCTION("IF(B106="""","" "",IMPORTRANGE(B106,""'export'!e1""))")," ")</f>
        <v> </v>
      </c>
      <c r="K106" s="25"/>
      <c r="L106" s="21" t="str">
        <f>IFERROR(__xludf.DUMMYFUNCTION("IF(B106="""","" "",IMPORTRANGE(B106,""'export'!f1""))")," ")</f>
        <v> </v>
      </c>
      <c r="M106" s="26" t="str">
        <f>IFERROR(__xludf.DUMMYFUNCTION("IF(B106="""","" "",IMPORTRANGE(B106,""'export'!h3""))")," ")</f>
        <v> </v>
      </c>
      <c r="N106" s="27" t="str">
        <f>IFERROR(__xludf.DUMMYFUNCTION("IF(B106="""","" "",IMPORTRANGE(B106,""'export'!h1""))")," ")</f>
        <v> </v>
      </c>
      <c r="O106" s="28" t="str">
        <f>IFERROR(__xludf.DUMMYFUNCTION("IF(B106="""","" "",IMPORTRANGE(B106,""'export'!h11""))")," ")</f>
        <v> </v>
      </c>
      <c r="P106" s="29" t="str">
        <f>IFERROR(__xludf.DUMMYFUNCTION("IF(B106="""","" "",IMPORTRANGE(B106,""'export'!i1""))")," ")</f>
        <v> </v>
      </c>
      <c r="Q106" s="30" t="str">
        <f>IFERROR(__xludf.DUMMYFUNCTION("IF(B106="""","" "",IMPORTRANGE(B106,""'export'!i13""))")," ")</f>
        <v> </v>
      </c>
      <c r="R106" s="31" t="str">
        <f t="shared" si="2"/>
        <v/>
      </c>
      <c r="S106" s="32" t="str">
        <f>IFERROR(__xludf.DUMMYFUNCTION("IF(B106="""","" "",IMPORTRANGE(B106,""'export'!g1""))")," ")</f>
        <v> </v>
      </c>
    </row>
    <row r="107">
      <c r="A107" s="18"/>
      <c r="B107" s="35"/>
      <c r="C107" s="20" t="str">
        <f>IFERROR(__xludf.DUMMYFUNCTION("IF(B107="""","" "",IMPORTRANGE(B107,""'Export'!m1""))")," ")</f>
        <v> </v>
      </c>
      <c r="D107" s="21" t="str">
        <f t="shared" si="1"/>
        <v> ,  ,  </v>
      </c>
      <c r="E107" s="22" t="str">
        <f>IFERROR(__xludf.DUMMYFUNCTION("IF(B107="""","" "",IMPORTRANGE(B107,""'EXPORT'!L1""))")," ")</f>
        <v> </v>
      </c>
      <c r="F107" s="23" t="str">
        <f>IFERROR(__xludf.DUMMYFUNCTION("IF(B107="""","" "",IMPORTRANGE(B107,""'Export'!a1""))")," ")</f>
        <v> </v>
      </c>
      <c r="G107" s="23" t="str">
        <f>IFERROR(__xludf.DUMMYFUNCTION("IF(B107="""","" "",IMPORTRANGE(B107,""'export'!b1""))")," ")</f>
        <v> </v>
      </c>
      <c r="H107" s="23" t="str">
        <f>IFERROR(__xludf.DUMMYFUNCTION("IF(B107="""","" "",IMPORTRANGE(B107,""'export'!c1""))")," ")</f>
        <v> </v>
      </c>
      <c r="I107" s="24" t="str">
        <f>IFERROR(__xludf.DUMMYFUNCTION("IF(B107="""","" "",IMPORTRANGE(B107,""'export'!d1""))")," ")</f>
        <v> </v>
      </c>
      <c r="J107" s="25" t="str">
        <f>IFERROR(__xludf.DUMMYFUNCTION("IF(B107="""","" "",IMPORTRANGE(B107,""'export'!e1""))")," ")</f>
        <v> </v>
      </c>
      <c r="K107" s="25"/>
      <c r="L107" s="21" t="str">
        <f>IFERROR(__xludf.DUMMYFUNCTION("IF(B107="""","" "",IMPORTRANGE(B107,""'export'!f1""))")," ")</f>
        <v> </v>
      </c>
      <c r="M107" s="26" t="str">
        <f>IFERROR(__xludf.DUMMYFUNCTION("IF(B107="""","" "",IMPORTRANGE(B107,""'export'!h3""))")," ")</f>
        <v> </v>
      </c>
      <c r="N107" s="27" t="str">
        <f>IFERROR(__xludf.DUMMYFUNCTION("IF(B107="""","" "",IMPORTRANGE(B107,""'export'!h1""))")," ")</f>
        <v> </v>
      </c>
      <c r="O107" s="28" t="str">
        <f>IFERROR(__xludf.DUMMYFUNCTION("IF(B107="""","" "",IMPORTRANGE(B107,""'export'!h11""))")," ")</f>
        <v> </v>
      </c>
      <c r="P107" s="29" t="str">
        <f>IFERROR(__xludf.DUMMYFUNCTION("IF(B107="""","" "",IMPORTRANGE(B107,""'export'!i1""))")," ")</f>
        <v> </v>
      </c>
      <c r="Q107" s="30" t="str">
        <f>IFERROR(__xludf.DUMMYFUNCTION("IF(B107="""","" "",IMPORTRANGE(B107,""'export'!i13""))")," ")</f>
        <v> </v>
      </c>
      <c r="R107" s="31" t="str">
        <f t="shared" si="2"/>
        <v/>
      </c>
      <c r="S107" s="32" t="str">
        <f>IFERROR(__xludf.DUMMYFUNCTION("IF(B107="""","" "",IMPORTRANGE(B107,""'export'!g1""))")," ")</f>
        <v> </v>
      </c>
    </row>
    <row r="108">
      <c r="A108" s="18"/>
      <c r="B108" s="35"/>
      <c r="C108" s="20" t="str">
        <f>IFERROR(__xludf.DUMMYFUNCTION("IF(B108="""","" "",IMPORTRANGE(B108,""'Export'!m1""))")," ")</f>
        <v> </v>
      </c>
      <c r="D108" s="21" t="str">
        <f t="shared" si="1"/>
        <v> ,  ,  </v>
      </c>
      <c r="E108" s="22" t="str">
        <f>IFERROR(__xludf.DUMMYFUNCTION("IF(B108="""","" "",IMPORTRANGE(B108,""'EXPORT'!L1""))")," ")</f>
        <v> </v>
      </c>
      <c r="F108" s="23" t="str">
        <f>IFERROR(__xludf.DUMMYFUNCTION("IF(B108="""","" "",IMPORTRANGE(B108,""'Export'!a1""))")," ")</f>
        <v> </v>
      </c>
      <c r="G108" s="23" t="str">
        <f>IFERROR(__xludf.DUMMYFUNCTION("IF(B108="""","" "",IMPORTRANGE(B108,""'export'!b1""))")," ")</f>
        <v> </v>
      </c>
      <c r="H108" s="23" t="str">
        <f>IFERROR(__xludf.DUMMYFUNCTION("IF(B108="""","" "",IMPORTRANGE(B108,""'export'!c1""))")," ")</f>
        <v> </v>
      </c>
      <c r="I108" s="24" t="str">
        <f>IFERROR(__xludf.DUMMYFUNCTION("IF(B108="""","" "",IMPORTRANGE(B108,""'export'!d1""))")," ")</f>
        <v> </v>
      </c>
      <c r="J108" s="25" t="str">
        <f>IFERROR(__xludf.DUMMYFUNCTION("IF(B108="""","" "",IMPORTRANGE(B108,""'export'!e1""))")," ")</f>
        <v> </v>
      </c>
      <c r="K108" s="25"/>
      <c r="L108" s="21" t="str">
        <f>IFERROR(__xludf.DUMMYFUNCTION("IF(B108="""","" "",IMPORTRANGE(B108,""'export'!f1""))")," ")</f>
        <v> </v>
      </c>
      <c r="M108" s="26" t="str">
        <f>IFERROR(__xludf.DUMMYFUNCTION("IF(B108="""","" "",IMPORTRANGE(B108,""'export'!h3""))")," ")</f>
        <v> </v>
      </c>
      <c r="N108" s="27" t="str">
        <f>IFERROR(__xludf.DUMMYFUNCTION("IF(B108="""","" "",IMPORTRANGE(B108,""'export'!h1""))")," ")</f>
        <v> </v>
      </c>
      <c r="O108" s="28" t="str">
        <f>IFERROR(__xludf.DUMMYFUNCTION("IF(B108="""","" "",IMPORTRANGE(B108,""'export'!h11""))")," ")</f>
        <v> </v>
      </c>
      <c r="P108" s="29" t="str">
        <f>IFERROR(__xludf.DUMMYFUNCTION("IF(B108="""","" "",IMPORTRANGE(B108,""'export'!i1""))")," ")</f>
        <v> </v>
      </c>
      <c r="Q108" s="30" t="str">
        <f>IFERROR(__xludf.DUMMYFUNCTION("IF(B108="""","" "",IMPORTRANGE(B108,""'export'!i13""))")," ")</f>
        <v> </v>
      </c>
      <c r="R108" s="31" t="str">
        <f t="shared" si="2"/>
        <v/>
      </c>
      <c r="S108" s="32" t="str">
        <f>IFERROR(__xludf.DUMMYFUNCTION("IF(B108="""","" "",IMPORTRANGE(B108,""'export'!g1""))")," ")</f>
        <v> </v>
      </c>
    </row>
    <row r="109">
      <c r="A109" s="18"/>
      <c r="B109" s="35"/>
      <c r="C109" s="20" t="str">
        <f>IFERROR(__xludf.DUMMYFUNCTION("IF(B109="""","" "",IMPORTRANGE(B109,""'Export'!m1""))")," ")</f>
        <v> </v>
      </c>
      <c r="D109" s="21" t="str">
        <f t="shared" si="1"/>
        <v> ,  ,  </v>
      </c>
      <c r="E109" s="22" t="str">
        <f>IFERROR(__xludf.DUMMYFUNCTION("IF(B109="""","" "",IMPORTRANGE(B109,""'EXPORT'!L1""))")," ")</f>
        <v> </v>
      </c>
      <c r="F109" s="23" t="str">
        <f>IFERROR(__xludf.DUMMYFUNCTION("IF(B109="""","" "",IMPORTRANGE(B109,""'Export'!a1""))")," ")</f>
        <v> </v>
      </c>
      <c r="G109" s="23" t="str">
        <f>IFERROR(__xludf.DUMMYFUNCTION("IF(B109="""","" "",IMPORTRANGE(B109,""'export'!b1""))")," ")</f>
        <v> </v>
      </c>
      <c r="H109" s="23" t="str">
        <f>IFERROR(__xludf.DUMMYFUNCTION("IF(B109="""","" "",IMPORTRANGE(B109,""'export'!c1""))")," ")</f>
        <v> </v>
      </c>
      <c r="I109" s="24" t="str">
        <f>IFERROR(__xludf.DUMMYFUNCTION("IF(B109="""","" "",IMPORTRANGE(B109,""'export'!d1""))")," ")</f>
        <v> </v>
      </c>
      <c r="J109" s="25" t="str">
        <f>IFERROR(__xludf.DUMMYFUNCTION("IF(B109="""","" "",IMPORTRANGE(B109,""'export'!e1""))")," ")</f>
        <v> </v>
      </c>
      <c r="K109" s="25"/>
      <c r="L109" s="21" t="str">
        <f>IFERROR(__xludf.DUMMYFUNCTION("IF(B109="""","" "",IMPORTRANGE(B109,""'export'!f1""))")," ")</f>
        <v> </v>
      </c>
      <c r="M109" s="26" t="str">
        <f>IFERROR(__xludf.DUMMYFUNCTION("IF(B109="""","" "",IMPORTRANGE(B109,""'export'!h3""))")," ")</f>
        <v> </v>
      </c>
      <c r="N109" s="27" t="str">
        <f>IFERROR(__xludf.DUMMYFUNCTION("IF(B109="""","" "",IMPORTRANGE(B109,""'export'!h1""))")," ")</f>
        <v> </v>
      </c>
      <c r="O109" s="28" t="str">
        <f>IFERROR(__xludf.DUMMYFUNCTION("IF(B109="""","" "",IMPORTRANGE(B109,""'export'!h11""))")," ")</f>
        <v> </v>
      </c>
      <c r="P109" s="29" t="str">
        <f>IFERROR(__xludf.DUMMYFUNCTION("IF(B109="""","" "",IMPORTRANGE(B109,""'export'!i1""))")," ")</f>
        <v> </v>
      </c>
      <c r="Q109" s="30" t="str">
        <f>IFERROR(__xludf.DUMMYFUNCTION("IF(B109="""","" "",IMPORTRANGE(B109,""'export'!i13""))")," ")</f>
        <v> </v>
      </c>
      <c r="R109" s="31" t="str">
        <f t="shared" si="2"/>
        <v/>
      </c>
      <c r="S109" s="32" t="str">
        <f>IFERROR(__xludf.DUMMYFUNCTION("IF(B109="""","" "",IMPORTRANGE(B109,""'export'!g1""))")," ")</f>
        <v> </v>
      </c>
    </row>
    <row r="110">
      <c r="A110" s="18"/>
      <c r="B110" s="35"/>
      <c r="C110" s="20" t="str">
        <f>IFERROR(__xludf.DUMMYFUNCTION("IF(B110="""","" "",IMPORTRANGE(B110,""'Export'!m1""))")," ")</f>
        <v> </v>
      </c>
      <c r="D110" s="21" t="str">
        <f t="shared" si="1"/>
        <v> ,  ,  </v>
      </c>
      <c r="E110" s="22" t="str">
        <f>IFERROR(__xludf.DUMMYFUNCTION("IF(B110="""","" "",IMPORTRANGE(B110,""'EXPORT'!L1""))")," ")</f>
        <v> </v>
      </c>
      <c r="F110" s="23" t="str">
        <f>IFERROR(__xludf.DUMMYFUNCTION("IF(B110="""","" "",IMPORTRANGE(B110,""'Export'!a1""))")," ")</f>
        <v> </v>
      </c>
      <c r="G110" s="23" t="str">
        <f>IFERROR(__xludf.DUMMYFUNCTION("IF(B110="""","" "",IMPORTRANGE(B110,""'export'!b1""))")," ")</f>
        <v> </v>
      </c>
      <c r="H110" s="23" t="str">
        <f>IFERROR(__xludf.DUMMYFUNCTION("IF(B110="""","" "",IMPORTRANGE(B110,""'export'!c1""))")," ")</f>
        <v> </v>
      </c>
      <c r="I110" s="24" t="str">
        <f>IFERROR(__xludf.DUMMYFUNCTION("IF(B110="""","" "",IMPORTRANGE(B110,""'export'!d1""))")," ")</f>
        <v> </v>
      </c>
      <c r="J110" s="25" t="str">
        <f>IFERROR(__xludf.DUMMYFUNCTION("IF(B110="""","" "",IMPORTRANGE(B110,""'export'!e1""))")," ")</f>
        <v> </v>
      </c>
      <c r="K110" s="25"/>
      <c r="L110" s="21" t="str">
        <f>IFERROR(__xludf.DUMMYFUNCTION("IF(B110="""","" "",IMPORTRANGE(B110,""'export'!f1""))")," ")</f>
        <v> </v>
      </c>
      <c r="M110" s="26" t="str">
        <f>IFERROR(__xludf.DUMMYFUNCTION("IF(B110="""","" "",IMPORTRANGE(B110,""'export'!h3""))")," ")</f>
        <v> </v>
      </c>
      <c r="N110" s="27" t="str">
        <f>IFERROR(__xludf.DUMMYFUNCTION("IF(B110="""","" "",IMPORTRANGE(B110,""'export'!h1""))")," ")</f>
        <v> </v>
      </c>
      <c r="O110" s="28" t="str">
        <f>IFERROR(__xludf.DUMMYFUNCTION("IF(B110="""","" "",IMPORTRANGE(B110,""'export'!h11""))")," ")</f>
        <v> </v>
      </c>
      <c r="P110" s="29" t="str">
        <f>IFERROR(__xludf.DUMMYFUNCTION("IF(B110="""","" "",IMPORTRANGE(B110,""'export'!i1""))")," ")</f>
        <v> </v>
      </c>
      <c r="Q110" s="30" t="str">
        <f>IFERROR(__xludf.DUMMYFUNCTION("IF(B110="""","" "",IMPORTRANGE(B110,""'export'!i13""))")," ")</f>
        <v> </v>
      </c>
      <c r="R110" s="31" t="str">
        <f t="shared" si="2"/>
        <v/>
      </c>
      <c r="S110" s="32" t="str">
        <f>IFERROR(__xludf.DUMMYFUNCTION("IF(B110="""","" "",IMPORTRANGE(B110,""'export'!g1""))")," ")</f>
        <v> </v>
      </c>
    </row>
    <row r="111">
      <c r="A111" s="18"/>
      <c r="B111" s="35"/>
      <c r="C111" s="20" t="str">
        <f>IFERROR(__xludf.DUMMYFUNCTION("IF(B111="""","" "",IMPORTRANGE(B111,""'Export'!m1""))")," ")</f>
        <v> </v>
      </c>
      <c r="D111" s="21" t="str">
        <f t="shared" si="1"/>
        <v> ,  ,  </v>
      </c>
      <c r="E111" s="22" t="str">
        <f>IFERROR(__xludf.DUMMYFUNCTION("IF(B111="""","" "",IMPORTRANGE(B111,""'EXPORT'!L1""))")," ")</f>
        <v> </v>
      </c>
      <c r="F111" s="23" t="str">
        <f>IFERROR(__xludf.DUMMYFUNCTION("IF(B111="""","" "",IMPORTRANGE(B111,""'Export'!a1""))")," ")</f>
        <v> </v>
      </c>
      <c r="G111" s="23" t="str">
        <f>IFERROR(__xludf.DUMMYFUNCTION("IF(B111="""","" "",IMPORTRANGE(B111,""'export'!b1""))")," ")</f>
        <v> </v>
      </c>
      <c r="H111" s="23" t="str">
        <f>IFERROR(__xludf.DUMMYFUNCTION("IF(B111="""","" "",IMPORTRANGE(B111,""'export'!c1""))")," ")</f>
        <v> </v>
      </c>
      <c r="I111" s="24" t="str">
        <f>IFERROR(__xludf.DUMMYFUNCTION("IF(B111="""","" "",IMPORTRANGE(B111,""'export'!d1""))")," ")</f>
        <v> </v>
      </c>
      <c r="J111" s="25" t="str">
        <f>IFERROR(__xludf.DUMMYFUNCTION("IF(B111="""","" "",IMPORTRANGE(B111,""'export'!e1""))")," ")</f>
        <v> </v>
      </c>
      <c r="K111" s="25"/>
      <c r="L111" s="21" t="str">
        <f>IFERROR(__xludf.DUMMYFUNCTION("IF(B111="""","" "",IMPORTRANGE(B111,""'export'!f1""))")," ")</f>
        <v> </v>
      </c>
      <c r="M111" s="26" t="str">
        <f>IFERROR(__xludf.DUMMYFUNCTION("IF(B111="""","" "",IMPORTRANGE(B111,""'export'!h3""))")," ")</f>
        <v> </v>
      </c>
      <c r="N111" s="27" t="str">
        <f>IFERROR(__xludf.DUMMYFUNCTION("IF(B111="""","" "",IMPORTRANGE(B111,""'export'!h1""))")," ")</f>
        <v> </v>
      </c>
      <c r="O111" s="28" t="str">
        <f>IFERROR(__xludf.DUMMYFUNCTION("IF(B111="""","" "",IMPORTRANGE(B111,""'export'!h11""))")," ")</f>
        <v> </v>
      </c>
      <c r="P111" s="29" t="str">
        <f>IFERROR(__xludf.DUMMYFUNCTION("IF(B111="""","" "",IMPORTRANGE(B111,""'export'!i1""))")," ")</f>
        <v> </v>
      </c>
      <c r="Q111" s="30" t="str">
        <f>IFERROR(__xludf.DUMMYFUNCTION("IF(B111="""","" "",IMPORTRANGE(B111,""'export'!i13""))")," ")</f>
        <v> </v>
      </c>
      <c r="R111" s="31" t="str">
        <f t="shared" si="2"/>
        <v/>
      </c>
      <c r="S111" s="32" t="str">
        <f>IFERROR(__xludf.DUMMYFUNCTION("IF(B111="""","" "",IMPORTRANGE(B111,""'export'!g1""))")," ")</f>
        <v> </v>
      </c>
    </row>
    <row r="112">
      <c r="A112" s="18"/>
      <c r="B112" s="35"/>
      <c r="C112" s="20" t="str">
        <f>IFERROR(__xludf.DUMMYFUNCTION("IF(B112="""","" "",IMPORTRANGE(B112,""'Export'!m1""))")," ")</f>
        <v> </v>
      </c>
      <c r="D112" s="21" t="str">
        <f t="shared" si="1"/>
        <v> ,  ,  </v>
      </c>
      <c r="E112" s="22" t="str">
        <f>IFERROR(__xludf.DUMMYFUNCTION("IF(B112="""","" "",IMPORTRANGE(B112,""'EXPORT'!L1""))")," ")</f>
        <v> </v>
      </c>
      <c r="F112" s="23" t="str">
        <f>IFERROR(__xludf.DUMMYFUNCTION("IF(B112="""","" "",IMPORTRANGE(B112,""'Export'!a1""))")," ")</f>
        <v> </v>
      </c>
      <c r="G112" s="23" t="str">
        <f>IFERROR(__xludf.DUMMYFUNCTION("IF(B112="""","" "",IMPORTRANGE(B112,""'export'!b1""))")," ")</f>
        <v> </v>
      </c>
      <c r="H112" s="23" t="str">
        <f>IFERROR(__xludf.DUMMYFUNCTION("IF(B112="""","" "",IMPORTRANGE(B112,""'export'!c1""))")," ")</f>
        <v> </v>
      </c>
      <c r="I112" s="24" t="str">
        <f>IFERROR(__xludf.DUMMYFUNCTION("IF(B112="""","" "",IMPORTRANGE(B112,""'export'!d1""))")," ")</f>
        <v> </v>
      </c>
      <c r="J112" s="25" t="str">
        <f>IFERROR(__xludf.DUMMYFUNCTION("IF(B112="""","" "",IMPORTRANGE(B112,""'export'!e1""))")," ")</f>
        <v> </v>
      </c>
      <c r="K112" s="25"/>
      <c r="L112" s="21" t="str">
        <f>IFERROR(__xludf.DUMMYFUNCTION("IF(B112="""","" "",IMPORTRANGE(B112,""'export'!f1""))")," ")</f>
        <v> </v>
      </c>
      <c r="M112" s="26" t="str">
        <f>IFERROR(__xludf.DUMMYFUNCTION("IF(B112="""","" "",IMPORTRANGE(B112,""'export'!h3""))")," ")</f>
        <v> </v>
      </c>
      <c r="N112" s="27" t="str">
        <f>IFERROR(__xludf.DUMMYFUNCTION("IF(B112="""","" "",IMPORTRANGE(B112,""'export'!h1""))")," ")</f>
        <v> </v>
      </c>
      <c r="O112" s="28" t="str">
        <f>IFERROR(__xludf.DUMMYFUNCTION("IF(B112="""","" "",IMPORTRANGE(B112,""'export'!h11""))")," ")</f>
        <v> </v>
      </c>
      <c r="P112" s="29" t="str">
        <f>IFERROR(__xludf.DUMMYFUNCTION("IF(B112="""","" "",IMPORTRANGE(B112,""'export'!i1""))")," ")</f>
        <v> </v>
      </c>
      <c r="Q112" s="30" t="str">
        <f>IFERROR(__xludf.DUMMYFUNCTION("IF(B112="""","" "",IMPORTRANGE(B112,""'export'!i13""))")," ")</f>
        <v> </v>
      </c>
      <c r="R112" s="31" t="str">
        <f t="shared" si="2"/>
        <v/>
      </c>
      <c r="S112" s="32" t="str">
        <f>IFERROR(__xludf.DUMMYFUNCTION("IF(B112="""","" "",IMPORTRANGE(B112,""'export'!g1""))")," ")</f>
        <v> </v>
      </c>
    </row>
    <row r="113">
      <c r="A113" s="18"/>
      <c r="B113" s="35"/>
      <c r="C113" s="20" t="str">
        <f>IFERROR(__xludf.DUMMYFUNCTION("IF(B113="""","" "",IMPORTRANGE(B113,""'Export'!m1""))")," ")</f>
        <v> </v>
      </c>
      <c r="D113" s="21" t="str">
        <f t="shared" si="1"/>
        <v> ,  ,  </v>
      </c>
      <c r="E113" s="22" t="str">
        <f>IFERROR(__xludf.DUMMYFUNCTION("IF(B113="""","" "",IMPORTRANGE(B113,""'EXPORT'!L1""))")," ")</f>
        <v> </v>
      </c>
      <c r="F113" s="23" t="str">
        <f>IFERROR(__xludf.DUMMYFUNCTION("IF(B113="""","" "",IMPORTRANGE(B113,""'Export'!a1""))")," ")</f>
        <v> </v>
      </c>
      <c r="G113" s="23" t="str">
        <f>IFERROR(__xludf.DUMMYFUNCTION("IF(B113="""","" "",IMPORTRANGE(B113,""'export'!b1""))")," ")</f>
        <v> </v>
      </c>
      <c r="H113" s="23" t="str">
        <f>IFERROR(__xludf.DUMMYFUNCTION("IF(B113="""","" "",IMPORTRANGE(B113,""'export'!c1""))")," ")</f>
        <v> </v>
      </c>
      <c r="I113" s="24" t="str">
        <f>IFERROR(__xludf.DUMMYFUNCTION("IF(B113="""","" "",IMPORTRANGE(B113,""'export'!d1""))")," ")</f>
        <v> </v>
      </c>
      <c r="J113" s="25" t="str">
        <f>IFERROR(__xludf.DUMMYFUNCTION("IF(B113="""","" "",IMPORTRANGE(B113,""'export'!e1""))")," ")</f>
        <v> </v>
      </c>
      <c r="K113" s="25"/>
      <c r="L113" s="21" t="str">
        <f>IFERROR(__xludf.DUMMYFUNCTION("IF(B113="""","" "",IMPORTRANGE(B113,""'export'!f1""))")," ")</f>
        <v> </v>
      </c>
      <c r="M113" s="26" t="str">
        <f>IFERROR(__xludf.DUMMYFUNCTION("IF(B113="""","" "",IMPORTRANGE(B113,""'export'!h3""))")," ")</f>
        <v> </v>
      </c>
      <c r="N113" s="27" t="str">
        <f>IFERROR(__xludf.DUMMYFUNCTION("IF(B113="""","" "",IMPORTRANGE(B113,""'export'!h1""))")," ")</f>
        <v> </v>
      </c>
      <c r="O113" s="28" t="str">
        <f>IFERROR(__xludf.DUMMYFUNCTION("IF(B113="""","" "",IMPORTRANGE(B113,""'export'!h11""))")," ")</f>
        <v> </v>
      </c>
      <c r="P113" s="29" t="str">
        <f>IFERROR(__xludf.DUMMYFUNCTION("IF(B113="""","" "",IMPORTRANGE(B113,""'export'!i1""))")," ")</f>
        <v> </v>
      </c>
      <c r="Q113" s="30" t="str">
        <f>IFERROR(__xludf.DUMMYFUNCTION("IF(B113="""","" "",IMPORTRANGE(B113,""'export'!i13""))")," ")</f>
        <v> </v>
      </c>
      <c r="R113" s="31" t="str">
        <f t="shared" si="2"/>
        <v/>
      </c>
      <c r="S113" s="32" t="str">
        <f>IFERROR(__xludf.DUMMYFUNCTION("IF(B113="""","" "",IMPORTRANGE(B113,""'export'!g1""))")," ")</f>
        <v> </v>
      </c>
    </row>
    <row r="114">
      <c r="A114" s="18"/>
      <c r="B114" s="35"/>
      <c r="C114" s="20" t="str">
        <f>IFERROR(__xludf.DUMMYFUNCTION("IF(B114="""","" "",IMPORTRANGE(B114,""'Export'!m1""))")," ")</f>
        <v> </v>
      </c>
      <c r="D114" s="21" t="str">
        <f t="shared" si="1"/>
        <v> ,  ,  </v>
      </c>
      <c r="E114" s="22" t="str">
        <f>IFERROR(__xludf.DUMMYFUNCTION("IF(B114="""","" "",IMPORTRANGE(B114,""'EXPORT'!L1""))")," ")</f>
        <v> </v>
      </c>
      <c r="F114" s="23" t="str">
        <f>IFERROR(__xludf.DUMMYFUNCTION("IF(B114="""","" "",IMPORTRANGE(B114,""'Export'!a1""))")," ")</f>
        <v> </v>
      </c>
      <c r="G114" s="23" t="str">
        <f>IFERROR(__xludf.DUMMYFUNCTION("IF(B114="""","" "",IMPORTRANGE(B114,""'export'!b1""))")," ")</f>
        <v> </v>
      </c>
      <c r="H114" s="23" t="str">
        <f>IFERROR(__xludf.DUMMYFUNCTION("IF(B114="""","" "",IMPORTRANGE(B114,""'export'!c1""))")," ")</f>
        <v> </v>
      </c>
      <c r="I114" s="24" t="str">
        <f>IFERROR(__xludf.DUMMYFUNCTION("IF(B114="""","" "",IMPORTRANGE(B114,""'export'!d1""))")," ")</f>
        <v> </v>
      </c>
      <c r="J114" s="25" t="str">
        <f>IFERROR(__xludf.DUMMYFUNCTION("IF(B114="""","" "",IMPORTRANGE(B114,""'export'!e1""))")," ")</f>
        <v> </v>
      </c>
      <c r="K114" s="25"/>
      <c r="L114" s="21" t="str">
        <f>IFERROR(__xludf.DUMMYFUNCTION("IF(B114="""","" "",IMPORTRANGE(B114,""'export'!f1""))")," ")</f>
        <v> </v>
      </c>
      <c r="M114" s="26" t="str">
        <f>IFERROR(__xludf.DUMMYFUNCTION("IF(B114="""","" "",IMPORTRANGE(B114,""'export'!h3""))")," ")</f>
        <v> </v>
      </c>
      <c r="N114" s="27" t="str">
        <f>IFERROR(__xludf.DUMMYFUNCTION("IF(B114="""","" "",IMPORTRANGE(B114,""'export'!h1""))")," ")</f>
        <v> </v>
      </c>
      <c r="O114" s="28" t="str">
        <f>IFERROR(__xludf.DUMMYFUNCTION("IF(B114="""","" "",IMPORTRANGE(B114,""'export'!h11""))")," ")</f>
        <v> </v>
      </c>
      <c r="P114" s="29" t="str">
        <f>IFERROR(__xludf.DUMMYFUNCTION("IF(B114="""","" "",IMPORTRANGE(B114,""'export'!i1""))")," ")</f>
        <v> </v>
      </c>
      <c r="Q114" s="30" t="str">
        <f>IFERROR(__xludf.DUMMYFUNCTION("IF(B114="""","" "",IMPORTRANGE(B114,""'export'!i13""))")," ")</f>
        <v> </v>
      </c>
      <c r="R114" s="31" t="str">
        <f t="shared" si="2"/>
        <v/>
      </c>
      <c r="S114" s="32" t="str">
        <f>IFERROR(__xludf.DUMMYFUNCTION("IF(B114="""","" "",IMPORTRANGE(B114,""'export'!g1""))")," ")</f>
        <v> </v>
      </c>
    </row>
    <row r="115">
      <c r="A115" s="18"/>
      <c r="B115" s="35"/>
      <c r="C115" s="20" t="str">
        <f>IFERROR(__xludf.DUMMYFUNCTION("IF(B115="""","" "",IMPORTRANGE(B115,""'Export'!m1""))")," ")</f>
        <v> </v>
      </c>
      <c r="D115" s="21" t="str">
        <f t="shared" si="1"/>
        <v> ,  ,  </v>
      </c>
      <c r="E115" s="22" t="str">
        <f>IFERROR(__xludf.DUMMYFUNCTION("IF(B115="""","" "",IMPORTRANGE(B115,""'EXPORT'!L1""))")," ")</f>
        <v> </v>
      </c>
      <c r="F115" s="23" t="str">
        <f>IFERROR(__xludf.DUMMYFUNCTION("IF(B115="""","" "",IMPORTRANGE(B115,""'Export'!a1""))")," ")</f>
        <v> </v>
      </c>
      <c r="G115" s="23" t="str">
        <f>IFERROR(__xludf.DUMMYFUNCTION("IF(B115="""","" "",IMPORTRANGE(B115,""'export'!b1""))")," ")</f>
        <v> </v>
      </c>
      <c r="H115" s="23" t="str">
        <f>IFERROR(__xludf.DUMMYFUNCTION("IF(B115="""","" "",IMPORTRANGE(B115,""'export'!c1""))")," ")</f>
        <v> </v>
      </c>
      <c r="I115" s="24" t="str">
        <f>IFERROR(__xludf.DUMMYFUNCTION("IF(B115="""","" "",IMPORTRANGE(B115,""'export'!d1""))")," ")</f>
        <v> </v>
      </c>
      <c r="J115" s="25" t="str">
        <f>IFERROR(__xludf.DUMMYFUNCTION("IF(B115="""","" "",IMPORTRANGE(B115,""'export'!e1""))")," ")</f>
        <v> </v>
      </c>
      <c r="K115" s="25"/>
      <c r="L115" s="21" t="str">
        <f>IFERROR(__xludf.DUMMYFUNCTION("IF(B115="""","" "",IMPORTRANGE(B115,""'export'!f1""))")," ")</f>
        <v> </v>
      </c>
      <c r="M115" s="26" t="str">
        <f>IFERROR(__xludf.DUMMYFUNCTION("IF(B115="""","" "",IMPORTRANGE(B115,""'export'!h3""))")," ")</f>
        <v> </v>
      </c>
      <c r="N115" s="27" t="str">
        <f>IFERROR(__xludf.DUMMYFUNCTION("IF(B115="""","" "",IMPORTRANGE(B115,""'export'!h1""))")," ")</f>
        <v> </v>
      </c>
      <c r="O115" s="28" t="str">
        <f>IFERROR(__xludf.DUMMYFUNCTION("IF(B115="""","" "",IMPORTRANGE(B115,""'export'!h11""))")," ")</f>
        <v> </v>
      </c>
      <c r="P115" s="29" t="str">
        <f>IFERROR(__xludf.DUMMYFUNCTION("IF(B115="""","" "",IMPORTRANGE(B115,""'export'!i1""))")," ")</f>
        <v> </v>
      </c>
      <c r="Q115" s="30" t="str">
        <f>IFERROR(__xludf.DUMMYFUNCTION("IF(B115="""","" "",IMPORTRANGE(B115,""'export'!i13""))")," ")</f>
        <v> </v>
      </c>
      <c r="R115" s="31" t="str">
        <f t="shared" si="2"/>
        <v/>
      </c>
      <c r="S115" s="32" t="str">
        <f>IFERROR(__xludf.DUMMYFUNCTION("IF(B115="""","" "",IMPORTRANGE(B115,""'export'!g1""))")," ")</f>
        <v> </v>
      </c>
    </row>
    <row r="116">
      <c r="A116" s="18"/>
      <c r="B116" s="35"/>
      <c r="C116" s="20" t="str">
        <f>IFERROR(__xludf.DUMMYFUNCTION("IF(B116="""","" "",IMPORTRANGE(B116,""'Export'!m1""))")," ")</f>
        <v> </v>
      </c>
      <c r="D116" s="21" t="str">
        <f t="shared" si="1"/>
        <v> ,  ,  </v>
      </c>
      <c r="E116" s="22" t="str">
        <f>IFERROR(__xludf.DUMMYFUNCTION("IF(B116="""","" "",IMPORTRANGE(B116,""'EXPORT'!L1""))")," ")</f>
        <v> </v>
      </c>
      <c r="F116" s="23" t="str">
        <f>IFERROR(__xludf.DUMMYFUNCTION("IF(B116="""","" "",IMPORTRANGE(B116,""'Export'!a1""))")," ")</f>
        <v> </v>
      </c>
      <c r="G116" s="23" t="str">
        <f>IFERROR(__xludf.DUMMYFUNCTION("IF(B116="""","" "",IMPORTRANGE(B116,""'export'!b1""))")," ")</f>
        <v> </v>
      </c>
      <c r="H116" s="23" t="str">
        <f>IFERROR(__xludf.DUMMYFUNCTION("IF(B116="""","" "",IMPORTRANGE(B116,""'export'!c1""))")," ")</f>
        <v> </v>
      </c>
      <c r="I116" s="24" t="str">
        <f>IFERROR(__xludf.DUMMYFUNCTION("IF(B116="""","" "",IMPORTRANGE(B116,""'export'!d1""))")," ")</f>
        <v> </v>
      </c>
      <c r="J116" s="25" t="str">
        <f>IFERROR(__xludf.DUMMYFUNCTION("IF(B116="""","" "",IMPORTRANGE(B116,""'export'!e1""))")," ")</f>
        <v> </v>
      </c>
      <c r="K116" s="25"/>
      <c r="L116" s="21" t="str">
        <f>IFERROR(__xludf.DUMMYFUNCTION("IF(B116="""","" "",IMPORTRANGE(B116,""'export'!f1""))")," ")</f>
        <v> </v>
      </c>
      <c r="M116" s="26" t="str">
        <f>IFERROR(__xludf.DUMMYFUNCTION("IF(B116="""","" "",IMPORTRANGE(B116,""'export'!h3""))")," ")</f>
        <v> </v>
      </c>
      <c r="N116" s="27" t="str">
        <f>IFERROR(__xludf.DUMMYFUNCTION("IF(B116="""","" "",IMPORTRANGE(B116,""'export'!h1""))")," ")</f>
        <v> </v>
      </c>
      <c r="O116" s="28" t="str">
        <f>IFERROR(__xludf.DUMMYFUNCTION("IF(B116="""","" "",IMPORTRANGE(B116,""'export'!h11""))")," ")</f>
        <v> </v>
      </c>
      <c r="P116" s="29" t="str">
        <f>IFERROR(__xludf.DUMMYFUNCTION("IF(B116="""","" "",IMPORTRANGE(B116,""'export'!i1""))")," ")</f>
        <v> </v>
      </c>
      <c r="Q116" s="30" t="str">
        <f>IFERROR(__xludf.DUMMYFUNCTION("IF(B116="""","" "",IMPORTRANGE(B116,""'export'!i13""))")," ")</f>
        <v> </v>
      </c>
      <c r="R116" s="31" t="str">
        <f t="shared" si="2"/>
        <v/>
      </c>
      <c r="S116" s="32" t="str">
        <f>IFERROR(__xludf.DUMMYFUNCTION("IF(B116="""","" "",IMPORTRANGE(B116,""'export'!g1""))")," ")</f>
        <v> </v>
      </c>
    </row>
    <row r="117">
      <c r="A117" s="18"/>
      <c r="B117" s="35"/>
      <c r="C117" s="20" t="str">
        <f>IFERROR(__xludf.DUMMYFUNCTION("IF(B117="""","" "",IMPORTRANGE(B117,""'Export'!m1""))")," ")</f>
        <v> </v>
      </c>
      <c r="D117" s="21" t="str">
        <f t="shared" si="1"/>
        <v> ,  ,  </v>
      </c>
      <c r="E117" s="22" t="str">
        <f>IFERROR(__xludf.DUMMYFUNCTION("IF(B117="""","" "",IMPORTRANGE(B117,""'EXPORT'!L1""))")," ")</f>
        <v> </v>
      </c>
      <c r="F117" s="23" t="str">
        <f>IFERROR(__xludf.DUMMYFUNCTION("IF(B117="""","" "",IMPORTRANGE(B117,""'Export'!a1""))")," ")</f>
        <v> </v>
      </c>
      <c r="G117" s="23" t="str">
        <f>IFERROR(__xludf.DUMMYFUNCTION("IF(B117="""","" "",IMPORTRANGE(B117,""'export'!b1""))")," ")</f>
        <v> </v>
      </c>
      <c r="H117" s="23" t="str">
        <f>IFERROR(__xludf.DUMMYFUNCTION("IF(B117="""","" "",IMPORTRANGE(B117,""'export'!c1""))")," ")</f>
        <v> </v>
      </c>
      <c r="I117" s="24" t="str">
        <f>IFERROR(__xludf.DUMMYFUNCTION("IF(B117="""","" "",IMPORTRANGE(B117,""'export'!d1""))")," ")</f>
        <v> </v>
      </c>
      <c r="J117" s="25" t="str">
        <f>IFERROR(__xludf.DUMMYFUNCTION("IF(B117="""","" "",IMPORTRANGE(B117,""'export'!e1""))")," ")</f>
        <v> </v>
      </c>
      <c r="K117" s="25"/>
      <c r="L117" s="21" t="str">
        <f>IFERROR(__xludf.DUMMYFUNCTION("IF(B117="""","" "",IMPORTRANGE(B117,""'export'!f1""))")," ")</f>
        <v> </v>
      </c>
      <c r="M117" s="26" t="str">
        <f>IFERROR(__xludf.DUMMYFUNCTION("IF(B117="""","" "",IMPORTRANGE(B117,""'export'!h3""))")," ")</f>
        <v> </v>
      </c>
      <c r="N117" s="27" t="str">
        <f>IFERROR(__xludf.DUMMYFUNCTION("IF(B117="""","" "",IMPORTRANGE(B117,""'export'!h1""))")," ")</f>
        <v> </v>
      </c>
      <c r="O117" s="28" t="str">
        <f>IFERROR(__xludf.DUMMYFUNCTION("IF(B117="""","" "",IMPORTRANGE(B117,""'export'!h11""))")," ")</f>
        <v> </v>
      </c>
      <c r="P117" s="29" t="str">
        <f>IFERROR(__xludf.DUMMYFUNCTION("IF(B117="""","" "",IMPORTRANGE(B117,""'export'!i1""))")," ")</f>
        <v> </v>
      </c>
      <c r="Q117" s="30" t="str">
        <f>IFERROR(__xludf.DUMMYFUNCTION("IF(B117="""","" "",IMPORTRANGE(B117,""'export'!i13""))")," ")</f>
        <v> </v>
      </c>
      <c r="R117" s="31" t="str">
        <f t="shared" si="2"/>
        <v/>
      </c>
      <c r="S117" s="32" t="str">
        <f>IFERROR(__xludf.DUMMYFUNCTION("IF(B117="""","" "",IMPORTRANGE(B117,""'export'!g1""))")," ")</f>
        <v> </v>
      </c>
    </row>
    <row r="118">
      <c r="A118" s="18"/>
      <c r="B118" s="35"/>
      <c r="C118" s="20" t="str">
        <f>IFERROR(__xludf.DUMMYFUNCTION("IF(B118="""","" "",IMPORTRANGE(B118,""'Export'!m1""))")," ")</f>
        <v> </v>
      </c>
      <c r="D118" s="21" t="str">
        <f t="shared" si="1"/>
        <v> ,  ,  </v>
      </c>
      <c r="E118" s="22" t="str">
        <f>IFERROR(__xludf.DUMMYFUNCTION("IF(B118="""","" "",IMPORTRANGE(B118,""'EXPORT'!L1""))")," ")</f>
        <v> </v>
      </c>
      <c r="F118" s="23" t="str">
        <f>IFERROR(__xludf.DUMMYFUNCTION("IF(B118="""","" "",IMPORTRANGE(B118,""'Export'!a1""))")," ")</f>
        <v> </v>
      </c>
      <c r="G118" s="23" t="str">
        <f>IFERROR(__xludf.DUMMYFUNCTION("IF(B118="""","" "",IMPORTRANGE(B118,""'export'!b1""))")," ")</f>
        <v> </v>
      </c>
      <c r="H118" s="23" t="str">
        <f>IFERROR(__xludf.DUMMYFUNCTION("IF(B118="""","" "",IMPORTRANGE(B118,""'export'!c1""))")," ")</f>
        <v> </v>
      </c>
      <c r="I118" s="24" t="str">
        <f>IFERROR(__xludf.DUMMYFUNCTION("IF(B118="""","" "",IMPORTRANGE(B118,""'export'!d1""))")," ")</f>
        <v> </v>
      </c>
      <c r="J118" s="25" t="str">
        <f>IFERROR(__xludf.DUMMYFUNCTION("IF(B118="""","" "",IMPORTRANGE(B118,""'export'!e1""))")," ")</f>
        <v> </v>
      </c>
      <c r="K118" s="25"/>
      <c r="L118" s="21" t="str">
        <f>IFERROR(__xludf.DUMMYFUNCTION("IF(B118="""","" "",IMPORTRANGE(B118,""'export'!f1""))")," ")</f>
        <v> </v>
      </c>
      <c r="M118" s="26" t="str">
        <f>IFERROR(__xludf.DUMMYFUNCTION("IF(B118="""","" "",IMPORTRANGE(B118,""'export'!h3""))")," ")</f>
        <v> </v>
      </c>
      <c r="N118" s="27" t="str">
        <f>IFERROR(__xludf.DUMMYFUNCTION("IF(B118="""","" "",IMPORTRANGE(B118,""'export'!h1""))")," ")</f>
        <v> </v>
      </c>
      <c r="O118" s="28" t="str">
        <f>IFERROR(__xludf.DUMMYFUNCTION("IF(B118="""","" "",IMPORTRANGE(B118,""'export'!h11""))")," ")</f>
        <v> </v>
      </c>
      <c r="P118" s="29" t="str">
        <f>IFERROR(__xludf.DUMMYFUNCTION("IF(B118="""","" "",IMPORTRANGE(B118,""'export'!i1""))")," ")</f>
        <v> </v>
      </c>
      <c r="Q118" s="30" t="str">
        <f>IFERROR(__xludf.DUMMYFUNCTION("IF(B118="""","" "",IMPORTRANGE(B118,""'export'!i13""))")," ")</f>
        <v> </v>
      </c>
      <c r="R118" s="31" t="str">
        <f t="shared" si="2"/>
        <v/>
      </c>
      <c r="S118" s="32" t="str">
        <f>IFERROR(__xludf.DUMMYFUNCTION("IF(B118="""","" "",IMPORTRANGE(B118,""'export'!g1""))")," ")</f>
        <v> </v>
      </c>
    </row>
    <row r="119">
      <c r="A119" s="18"/>
      <c r="B119" s="35"/>
      <c r="C119" s="20" t="str">
        <f>IFERROR(__xludf.DUMMYFUNCTION("IF(B119="""","" "",IMPORTRANGE(B119,""'Export'!m1""))")," ")</f>
        <v> </v>
      </c>
      <c r="D119" s="21" t="str">
        <f t="shared" si="1"/>
        <v> ,  ,  </v>
      </c>
      <c r="E119" s="22" t="str">
        <f>IFERROR(__xludf.DUMMYFUNCTION("IF(B119="""","" "",IMPORTRANGE(B119,""'EXPORT'!L1""))")," ")</f>
        <v> </v>
      </c>
      <c r="F119" s="23" t="str">
        <f>IFERROR(__xludf.DUMMYFUNCTION("IF(B119="""","" "",IMPORTRANGE(B119,""'Export'!a1""))")," ")</f>
        <v> </v>
      </c>
      <c r="G119" s="23" t="str">
        <f>IFERROR(__xludf.DUMMYFUNCTION("IF(B119="""","" "",IMPORTRANGE(B119,""'export'!b1""))")," ")</f>
        <v> </v>
      </c>
      <c r="H119" s="23" t="str">
        <f>IFERROR(__xludf.DUMMYFUNCTION("IF(B119="""","" "",IMPORTRANGE(B119,""'export'!c1""))")," ")</f>
        <v> </v>
      </c>
      <c r="I119" s="24" t="str">
        <f>IFERROR(__xludf.DUMMYFUNCTION("IF(B119="""","" "",IMPORTRANGE(B119,""'export'!d1""))")," ")</f>
        <v> </v>
      </c>
      <c r="J119" s="25" t="str">
        <f>IFERROR(__xludf.DUMMYFUNCTION("IF(B119="""","" "",IMPORTRANGE(B119,""'export'!e1""))")," ")</f>
        <v> </v>
      </c>
      <c r="K119" s="25"/>
      <c r="L119" s="21" t="str">
        <f>IFERROR(__xludf.DUMMYFUNCTION("IF(B119="""","" "",IMPORTRANGE(B119,""'export'!f1""))")," ")</f>
        <v> </v>
      </c>
      <c r="M119" s="26" t="str">
        <f>IFERROR(__xludf.DUMMYFUNCTION("IF(B119="""","" "",IMPORTRANGE(B119,""'export'!h3""))")," ")</f>
        <v> </v>
      </c>
      <c r="N119" s="27" t="str">
        <f>IFERROR(__xludf.DUMMYFUNCTION("IF(B119="""","" "",IMPORTRANGE(B119,""'export'!h1""))")," ")</f>
        <v> </v>
      </c>
      <c r="O119" s="28" t="str">
        <f>IFERROR(__xludf.DUMMYFUNCTION("IF(B119="""","" "",IMPORTRANGE(B119,""'export'!h11""))")," ")</f>
        <v> </v>
      </c>
      <c r="P119" s="29" t="str">
        <f>IFERROR(__xludf.DUMMYFUNCTION("IF(B119="""","" "",IMPORTRANGE(B119,""'export'!i1""))")," ")</f>
        <v> </v>
      </c>
      <c r="Q119" s="30" t="str">
        <f>IFERROR(__xludf.DUMMYFUNCTION("IF(B119="""","" "",IMPORTRANGE(B119,""'export'!i13""))")," ")</f>
        <v> </v>
      </c>
      <c r="R119" s="31" t="str">
        <f t="shared" si="2"/>
        <v/>
      </c>
      <c r="S119" s="32" t="str">
        <f>IFERROR(__xludf.DUMMYFUNCTION("IF(B119="""","" "",IMPORTRANGE(B119,""'export'!g1""))")," ")</f>
        <v> </v>
      </c>
    </row>
    <row r="120">
      <c r="A120" s="18"/>
      <c r="B120" s="35"/>
      <c r="C120" s="20" t="str">
        <f>IFERROR(__xludf.DUMMYFUNCTION("IF(B120="""","" "",IMPORTRANGE(B120,""'Export'!m1""))")," ")</f>
        <v> </v>
      </c>
      <c r="D120" s="21" t="str">
        <f t="shared" si="1"/>
        <v> ,  ,  </v>
      </c>
      <c r="E120" s="22" t="str">
        <f>IFERROR(__xludf.DUMMYFUNCTION("IF(B120="""","" "",IMPORTRANGE(B120,""'EXPORT'!L1""))")," ")</f>
        <v> </v>
      </c>
      <c r="F120" s="23" t="str">
        <f>IFERROR(__xludf.DUMMYFUNCTION("IF(B120="""","" "",IMPORTRANGE(B120,""'Export'!a1""))")," ")</f>
        <v> </v>
      </c>
      <c r="G120" s="23" t="str">
        <f>IFERROR(__xludf.DUMMYFUNCTION("IF(B120="""","" "",IMPORTRANGE(B120,""'export'!b1""))")," ")</f>
        <v> </v>
      </c>
      <c r="H120" s="23" t="str">
        <f>IFERROR(__xludf.DUMMYFUNCTION("IF(B120="""","" "",IMPORTRANGE(B120,""'export'!c1""))")," ")</f>
        <v> </v>
      </c>
      <c r="I120" s="24" t="str">
        <f>IFERROR(__xludf.DUMMYFUNCTION("IF(B120="""","" "",IMPORTRANGE(B120,""'export'!d1""))")," ")</f>
        <v> </v>
      </c>
      <c r="J120" s="25" t="str">
        <f>IFERROR(__xludf.DUMMYFUNCTION("IF(B120="""","" "",IMPORTRANGE(B120,""'export'!e1""))")," ")</f>
        <v> </v>
      </c>
      <c r="K120" s="25"/>
      <c r="L120" s="21" t="str">
        <f>IFERROR(__xludf.DUMMYFUNCTION("IF(B120="""","" "",IMPORTRANGE(B120,""'export'!f1""))")," ")</f>
        <v> </v>
      </c>
      <c r="M120" s="26" t="str">
        <f>IFERROR(__xludf.DUMMYFUNCTION("IF(B120="""","" "",IMPORTRANGE(B120,""'export'!h3""))")," ")</f>
        <v> </v>
      </c>
      <c r="N120" s="27" t="str">
        <f>IFERROR(__xludf.DUMMYFUNCTION("IF(B120="""","" "",IMPORTRANGE(B120,""'export'!h1""))")," ")</f>
        <v> </v>
      </c>
      <c r="O120" s="28" t="str">
        <f>IFERROR(__xludf.DUMMYFUNCTION("IF(B120="""","" "",IMPORTRANGE(B120,""'export'!h11""))")," ")</f>
        <v> </v>
      </c>
      <c r="P120" s="29" t="str">
        <f>IFERROR(__xludf.DUMMYFUNCTION("IF(B120="""","" "",IMPORTRANGE(B120,""'export'!i1""))")," ")</f>
        <v> </v>
      </c>
      <c r="Q120" s="30" t="str">
        <f>IFERROR(__xludf.DUMMYFUNCTION("IF(B120="""","" "",IMPORTRANGE(B120,""'export'!i13""))")," ")</f>
        <v> </v>
      </c>
      <c r="R120" s="31" t="str">
        <f t="shared" si="2"/>
        <v/>
      </c>
      <c r="S120" s="32" t="str">
        <f>IFERROR(__xludf.DUMMYFUNCTION("IF(B120="""","" "",IMPORTRANGE(B120,""'export'!g1""))")," ")</f>
        <v> </v>
      </c>
    </row>
    <row r="121">
      <c r="A121" s="18"/>
      <c r="B121" s="35"/>
      <c r="C121" s="20" t="str">
        <f>IFERROR(__xludf.DUMMYFUNCTION("IF(B121="""","" "",IMPORTRANGE(B121,""'Export'!m1""))")," ")</f>
        <v> </v>
      </c>
      <c r="D121" s="21" t="str">
        <f t="shared" si="1"/>
        <v> ,  ,  </v>
      </c>
      <c r="E121" s="22" t="str">
        <f>IFERROR(__xludf.DUMMYFUNCTION("IF(B121="""","" "",IMPORTRANGE(B121,""'EXPORT'!L1""))")," ")</f>
        <v> </v>
      </c>
      <c r="F121" s="23" t="str">
        <f>IFERROR(__xludf.DUMMYFUNCTION("IF(B121="""","" "",IMPORTRANGE(B121,""'Export'!a1""))")," ")</f>
        <v> </v>
      </c>
      <c r="G121" s="23" t="str">
        <f>IFERROR(__xludf.DUMMYFUNCTION("IF(B121="""","" "",IMPORTRANGE(B121,""'export'!b1""))")," ")</f>
        <v> </v>
      </c>
      <c r="H121" s="23" t="str">
        <f>IFERROR(__xludf.DUMMYFUNCTION("IF(B121="""","" "",IMPORTRANGE(B121,""'export'!c1""))")," ")</f>
        <v> </v>
      </c>
      <c r="I121" s="24" t="str">
        <f>IFERROR(__xludf.DUMMYFUNCTION("IF(B121="""","" "",IMPORTRANGE(B121,""'export'!d1""))")," ")</f>
        <v> </v>
      </c>
      <c r="J121" s="25" t="str">
        <f>IFERROR(__xludf.DUMMYFUNCTION("IF(B121="""","" "",IMPORTRANGE(B121,""'export'!e1""))")," ")</f>
        <v> </v>
      </c>
      <c r="K121" s="25"/>
      <c r="L121" s="21" t="str">
        <f>IFERROR(__xludf.DUMMYFUNCTION("IF(B121="""","" "",IMPORTRANGE(B121,""'export'!f1""))")," ")</f>
        <v> </v>
      </c>
      <c r="M121" s="26" t="str">
        <f>IFERROR(__xludf.DUMMYFUNCTION("IF(B121="""","" "",IMPORTRANGE(B121,""'export'!h3""))")," ")</f>
        <v> </v>
      </c>
      <c r="N121" s="27" t="str">
        <f>IFERROR(__xludf.DUMMYFUNCTION("IF(B121="""","" "",IMPORTRANGE(B121,""'export'!h1""))")," ")</f>
        <v> </v>
      </c>
      <c r="O121" s="28" t="str">
        <f>IFERROR(__xludf.DUMMYFUNCTION("IF(B121="""","" "",IMPORTRANGE(B121,""'export'!h11""))")," ")</f>
        <v> </v>
      </c>
      <c r="P121" s="29" t="str">
        <f>IFERROR(__xludf.DUMMYFUNCTION("IF(B121="""","" "",IMPORTRANGE(B121,""'export'!i1""))")," ")</f>
        <v> </v>
      </c>
      <c r="Q121" s="30" t="str">
        <f>IFERROR(__xludf.DUMMYFUNCTION("IF(B121="""","" "",IMPORTRANGE(B121,""'export'!i13""))")," ")</f>
        <v> </v>
      </c>
      <c r="R121" s="31" t="str">
        <f t="shared" si="2"/>
        <v/>
      </c>
      <c r="S121" s="32" t="str">
        <f>IFERROR(__xludf.DUMMYFUNCTION("IF(B121="""","" "",IMPORTRANGE(B121,""'export'!g1""))")," ")</f>
        <v> </v>
      </c>
    </row>
    <row r="122">
      <c r="A122" s="18"/>
      <c r="B122" s="35"/>
      <c r="C122" s="20" t="str">
        <f>IFERROR(__xludf.DUMMYFUNCTION("IF(B122="""","" "",IMPORTRANGE(B122,""'Export'!m1""))")," ")</f>
        <v> </v>
      </c>
      <c r="D122" s="21" t="str">
        <f t="shared" si="1"/>
        <v> ,  ,  </v>
      </c>
      <c r="E122" s="22" t="str">
        <f>IFERROR(__xludf.DUMMYFUNCTION("IF(B122="""","" "",IMPORTRANGE(B122,""'EXPORT'!L1""))")," ")</f>
        <v> </v>
      </c>
      <c r="F122" s="23" t="str">
        <f>IFERROR(__xludf.DUMMYFUNCTION("IF(B122="""","" "",IMPORTRANGE(B122,""'Export'!a1""))")," ")</f>
        <v> </v>
      </c>
      <c r="G122" s="23" t="str">
        <f>IFERROR(__xludf.DUMMYFUNCTION("IF(B122="""","" "",IMPORTRANGE(B122,""'export'!b1""))")," ")</f>
        <v> </v>
      </c>
      <c r="H122" s="23" t="str">
        <f>IFERROR(__xludf.DUMMYFUNCTION("IF(B122="""","" "",IMPORTRANGE(B122,""'export'!c1""))")," ")</f>
        <v> </v>
      </c>
      <c r="I122" s="24" t="str">
        <f>IFERROR(__xludf.DUMMYFUNCTION("IF(B122="""","" "",IMPORTRANGE(B122,""'export'!d1""))")," ")</f>
        <v> </v>
      </c>
      <c r="J122" s="25" t="str">
        <f>IFERROR(__xludf.DUMMYFUNCTION("IF(B122="""","" "",IMPORTRANGE(B122,""'export'!e1""))")," ")</f>
        <v> </v>
      </c>
      <c r="K122" s="25"/>
      <c r="L122" s="21" t="str">
        <f>IFERROR(__xludf.DUMMYFUNCTION("IF(B122="""","" "",IMPORTRANGE(B122,""'export'!f1""))")," ")</f>
        <v> </v>
      </c>
      <c r="M122" s="26" t="str">
        <f>IFERROR(__xludf.DUMMYFUNCTION("IF(B122="""","" "",IMPORTRANGE(B122,""'export'!h3""))")," ")</f>
        <v> </v>
      </c>
      <c r="N122" s="27" t="str">
        <f>IFERROR(__xludf.DUMMYFUNCTION("IF(B122="""","" "",IMPORTRANGE(B122,""'export'!h1""))")," ")</f>
        <v> </v>
      </c>
      <c r="O122" s="28" t="str">
        <f>IFERROR(__xludf.DUMMYFUNCTION("IF(B122="""","" "",IMPORTRANGE(B122,""'export'!h11""))")," ")</f>
        <v> </v>
      </c>
      <c r="P122" s="29" t="str">
        <f>IFERROR(__xludf.DUMMYFUNCTION("IF(B122="""","" "",IMPORTRANGE(B122,""'export'!i1""))")," ")</f>
        <v> </v>
      </c>
      <c r="Q122" s="30" t="str">
        <f>IFERROR(__xludf.DUMMYFUNCTION("IF(B122="""","" "",IMPORTRANGE(B122,""'export'!i13""))")," ")</f>
        <v> </v>
      </c>
      <c r="R122" s="31" t="str">
        <f t="shared" si="2"/>
        <v/>
      </c>
      <c r="S122" s="32" t="str">
        <f>IFERROR(__xludf.DUMMYFUNCTION("IF(B122="""","" "",IMPORTRANGE(B122,""'export'!g1""))")," ")</f>
        <v> </v>
      </c>
    </row>
    <row r="123">
      <c r="A123" s="18"/>
      <c r="B123" s="35"/>
      <c r="C123" s="20" t="str">
        <f>IFERROR(__xludf.DUMMYFUNCTION("IF(B123="""","" "",IMPORTRANGE(B123,""'Export'!m1""))")," ")</f>
        <v> </v>
      </c>
      <c r="D123" s="21" t="str">
        <f t="shared" si="1"/>
        <v> ,  ,  </v>
      </c>
      <c r="E123" s="22" t="str">
        <f>IFERROR(__xludf.DUMMYFUNCTION("IF(B123="""","" "",IMPORTRANGE(B123,""'EXPORT'!L1""))")," ")</f>
        <v> </v>
      </c>
      <c r="F123" s="23" t="str">
        <f>IFERROR(__xludf.DUMMYFUNCTION("IF(B123="""","" "",IMPORTRANGE(B123,""'Export'!a1""))")," ")</f>
        <v> </v>
      </c>
      <c r="G123" s="23" t="str">
        <f>IFERROR(__xludf.DUMMYFUNCTION("IF(B123="""","" "",IMPORTRANGE(B123,""'export'!b1""))")," ")</f>
        <v> </v>
      </c>
      <c r="H123" s="23" t="str">
        <f>IFERROR(__xludf.DUMMYFUNCTION("IF(B123="""","" "",IMPORTRANGE(B123,""'export'!c1""))")," ")</f>
        <v> </v>
      </c>
      <c r="I123" s="24" t="str">
        <f>IFERROR(__xludf.DUMMYFUNCTION("IF(B123="""","" "",IMPORTRANGE(B123,""'export'!d1""))")," ")</f>
        <v> </v>
      </c>
      <c r="J123" s="25" t="str">
        <f>IFERROR(__xludf.DUMMYFUNCTION("IF(B123="""","" "",IMPORTRANGE(B123,""'export'!e1""))")," ")</f>
        <v> </v>
      </c>
      <c r="K123" s="25"/>
      <c r="L123" s="21" t="str">
        <f>IFERROR(__xludf.DUMMYFUNCTION("IF(B123="""","" "",IMPORTRANGE(B123,""'export'!f1""))")," ")</f>
        <v> </v>
      </c>
      <c r="M123" s="26" t="str">
        <f>IFERROR(__xludf.DUMMYFUNCTION("IF(B123="""","" "",IMPORTRANGE(B123,""'export'!h3""))")," ")</f>
        <v> </v>
      </c>
      <c r="N123" s="27" t="str">
        <f>IFERROR(__xludf.DUMMYFUNCTION("IF(B123="""","" "",IMPORTRANGE(B123,""'export'!h1""))")," ")</f>
        <v> </v>
      </c>
      <c r="O123" s="28" t="str">
        <f>IFERROR(__xludf.DUMMYFUNCTION("IF(B123="""","" "",IMPORTRANGE(B123,""'export'!h11""))")," ")</f>
        <v> </v>
      </c>
      <c r="P123" s="29" t="str">
        <f>IFERROR(__xludf.DUMMYFUNCTION("IF(B123="""","" "",IMPORTRANGE(B123,""'export'!i1""))")," ")</f>
        <v> </v>
      </c>
      <c r="Q123" s="30" t="str">
        <f>IFERROR(__xludf.DUMMYFUNCTION("IF(B123="""","" "",IMPORTRANGE(B123,""'export'!i13""))")," ")</f>
        <v> </v>
      </c>
      <c r="R123" s="31" t="str">
        <f t="shared" si="2"/>
        <v/>
      </c>
      <c r="S123" s="32" t="str">
        <f>IFERROR(__xludf.DUMMYFUNCTION("IF(B123="""","" "",IMPORTRANGE(B123,""'export'!g1""))")," ")</f>
        <v> </v>
      </c>
    </row>
    <row r="124">
      <c r="A124" s="18"/>
      <c r="B124" s="35"/>
      <c r="C124" s="20" t="str">
        <f>IFERROR(__xludf.DUMMYFUNCTION("IF(B124="""","" "",IMPORTRANGE(B124,""'Export'!m1""))")," ")</f>
        <v> </v>
      </c>
      <c r="D124" s="21" t="str">
        <f t="shared" si="1"/>
        <v> ,  ,  </v>
      </c>
      <c r="E124" s="22" t="str">
        <f>IFERROR(__xludf.DUMMYFUNCTION("IF(B124="""","" "",IMPORTRANGE(B124,""'EXPORT'!L1""))")," ")</f>
        <v> </v>
      </c>
      <c r="F124" s="23" t="str">
        <f>IFERROR(__xludf.DUMMYFUNCTION("IF(B124="""","" "",IMPORTRANGE(B124,""'Export'!a1""))")," ")</f>
        <v> </v>
      </c>
      <c r="G124" s="23" t="str">
        <f>IFERROR(__xludf.DUMMYFUNCTION("IF(B124="""","" "",IMPORTRANGE(B124,""'export'!b1""))")," ")</f>
        <v> </v>
      </c>
      <c r="H124" s="23" t="str">
        <f>IFERROR(__xludf.DUMMYFUNCTION("IF(B124="""","" "",IMPORTRANGE(B124,""'export'!c1""))")," ")</f>
        <v> </v>
      </c>
      <c r="I124" s="24" t="str">
        <f>IFERROR(__xludf.DUMMYFUNCTION("IF(B124="""","" "",IMPORTRANGE(B124,""'export'!d1""))")," ")</f>
        <v> </v>
      </c>
      <c r="J124" s="25" t="str">
        <f>IFERROR(__xludf.DUMMYFUNCTION("IF(B124="""","" "",IMPORTRANGE(B124,""'export'!e1""))")," ")</f>
        <v> </v>
      </c>
      <c r="K124" s="25"/>
      <c r="L124" s="21" t="str">
        <f>IFERROR(__xludf.DUMMYFUNCTION("IF(B124="""","" "",IMPORTRANGE(B124,""'export'!f1""))")," ")</f>
        <v> </v>
      </c>
      <c r="M124" s="26" t="str">
        <f>IFERROR(__xludf.DUMMYFUNCTION("IF(B124="""","" "",IMPORTRANGE(B124,""'export'!h3""))")," ")</f>
        <v> </v>
      </c>
      <c r="N124" s="27" t="str">
        <f>IFERROR(__xludf.DUMMYFUNCTION("IF(B124="""","" "",IMPORTRANGE(B124,""'export'!h1""))")," ")</f>
        <v> </v>
      </c>
      <c r="O124" s="28" t="str">
        <f>IFERROR(__xludf.DUMMYFUNCTION("IF(B124="""","" "",IMPORTRANGE(B124,""'export'!h11""))")," ")</f>
        <v> </v>
      </c>
      <c r="P124" s="29" t="str">
        <f>IFERROR(__xludf.DUMMYFUNCTION("IF(B124="""","" "",IMPORTRANGE(B124,""'export'!i1""))")," ")</f>
        <v> </v>
      </c>
      <c r="Q124" s="30" t="str">
        <f>IFERROR(__xludf.DUMMYFUNCTION("IF(B124="""","" "",IMPORTRANGE(B124,""'export'!i13""))")," ")</f>
        <v> </v>
      </c>
      <c r="R124" s="31" t="str">
        <f t="shared" si="2"/>
        <v/>
      </c>
      <c r="S124" s="32" t="str">
        <f>IFERROR(__xludf.DUMMYFUNCTION("IF(B124="""","" "",IMPORTRANGE(B124,""'export'!g1""))")," ")</f>
        <v> </v>
      </c>
    </row>
    <row r="125">
      <c r="A125" s="18"/>
      <c r="B125" s="35"/>
      <c r="C125" s="20" t="str">
        <f>IFERROR(__xludf.DUMMYFUNCTION("IF(B125="""","" "",IMPORTRANGE(B125,""'Export'!m1""))")," ")</f>
        <v> </v>
      </c>
      <c r="D125" s="21" t="str">
        <f t="shared" si="1"/>
        <v> ,  ,  </v>
      </c>
      <c r="E125" s="22" t="str">
        <f>IFERROR(__xludf.DUMMYFUNCTION("IF(B125="""","" "",IMPORTRANGE(B125,""'EXPORT'!L1""))")," ")</f>
        <v> </v>
      </c>
      <c r="F125" s="23" t="str">
        <f>IFERROR(__xludf.DUMMYFUNCTION("IF(B125="""","" "",IMPORTRANGE(B125,""'Export'!a1""))")," ")</f>
        <v> </v>
      </c>
      <c r="G125" s="23" t="str">
        <f>IFERROR(__xludf.DUMMYFUNCTION("IF(B125="""","" "",IMPORTRANGE(B125,""'export'!b1""))")," ")</f>
        <v> </v>
      </c>
      <c r="H125" s="23" t="str">
        <f>IFERROR(__xludf.DUMMYFUNCTION("IF(B125="""","" "",IMPORTRANGE(B125,""'export'!c1""))")," ")</f>
        <v> </v>
      </c>
      <c r="I125" s="24" t="str">
        <f>IFERROR(__xludf.DUMMYFUNCTION("IF(B125="""","" "",IMPORTRANGE(B125,""'export'!d1""))")," ")</f>
        <v> </v>
      </c>
      <c r="J125" s="25" t="str">
        <f>IFERROR(__xludf.DUMMYFUNCTION("IF(B125="""","" "",IMPORTRANGE(B125,""'export'!e1""))")," ")</f>
        <v> </v>
      </c>
      <c r="K125" s="25"/>
      <c r="L125" s="21" t="str">
        <f>IFERROR(__xludf.DUMMYFUNCTION("IF(B125="""","" "",IMPORTRANGE(B125,""'export'!f1""))")," ")</f>
        <v> </v>
      </c>
      <c r="M125" s="26" t="str">
        <f>IFERROR(__xludf.DUMMYFUNCTION("IF(B125="""","" "",IMPORTRANGE(B125,""'export'!h3""))")," ")</f>
        <v> </v>
      </c>
      <c r="N125" s="27" t="str">
        <f>IFERROR(__xludf.DUMMYFUNCTION("IF(B125="""","" "",IMPORTRANGE(B125,""'export'!h1""))")," ")</f>
        <v> </v>
      </c>
      <c r="O125" s="28" t="str">
        <f>IFERROR(__xludf.DUMMYFUNCTION("IF(B125="""","" "",IMPORTRANGE(B125,""'export'!h11""))")," ")</f>
        <v> </v>
      </c>
      <c r="P125" s="29" t="str">
        <f>IFERROR(__xludf.DUMMYFUNCTION("IF(B125="""","" "",IMPORTRANGE(B125,""'export'!i1""))")," ")</f>
        <v> </v>
      </c>
      <c r="Q125" s="30" t="str">
        <f>IFERROR(__xludf.DUMMYFUNCTION("IF(B125="""","" "",IMPORTRANGE(B125,""'export'!i13""))")," ")</f>
        <v> </v>
      </c>
      <c r="R125" s="31" t="str">
        <f t="shared" si="2"/>
        <v/>
      </c>
      <c r="S125" s="32" t="str">
        <f>IFERROR(__xludf.DUMMYFUNCTION("IF(B125="""","" "",IMPORTRANGE(B125,""'export'!g1""))")," ")</f>
        <v> </v>
      </c>
    </row>
    <row r="126">
      <c r="A126" s="18"/>
      <c r="B126" s="35"/>
      <c r="C126" s="20" t="str">
        <f>IFERROR(__xludf.DUMMYFUNCTION("IF(B126="""","" "",IMPORTRANGE(B126,""'Export'!m1""))")," ")</f>
        <v> </v>
      </c>
      <c r="D126" s="21" t="str">
        <f t="shared" si="1"/>
        <v> ,  ,  </v>
      </c>
      <c r="E126" s="22" t="str">
        <f>IFERROR(__xludf.DUMMYFUNCTION("IF(B126="""","" "",IMPORTRANGE(B126,""'EXPORT'!L1""))")," ")</f>
        <v> </v>
      </c>
      <c r="F126" s="23" t="str">
        <f>IFERROR(__xludf.DUMMYFUNCTION("IF(B126="""","" "",IMPORTRANGE(B126,""'Export'!a1""))")," ")</f>
        <v> </v>
      </c>
      <c r="G126" s="23" t="str">
        <f>IFERROR(__xludf.DUMMYFUNCTION("IF(B126="""","" "",IMPORTRANGE(B126,""'export'!b1""))")," ")</f>
        <v> </v>
      </c>
      <c r="H126" s="23" t="str">
        <f>IFERROR(__xludf.DUMMYFUNCTION("IF(B126="""","" "",IMPORTRANGE(B126,""'export'!c1""))")," ")</f>
        <v> </v>
      </c>
      <c r="I126" s="24" t="str">
        <f>IFERROR(__xludf.DUMMYFUNCTION("IF(B126="""","" "",IMPORTRANGE(B126,""'export'!d1""))")," ")</f>
        <v> </v>
      </c>
      <c r="J126" s="25" t="str">
        <f>IFERROR(__xludf.DUMMYFUNCTION("IF(B126="""","" "",IMPORTRANGE(B126,""'export'!e1""))")," ")</f>
        <v> </v>
      </c>
      <c r="K126" s="25"/>
      <c r="L126" s="21" t="str">
        <f>IFERROR(__xludf.DUMMYFUNCTION("IF(B126="""","" "",IMPORTRANGE(B126,""'export'!f1""))")," ")</f>
        <v> </v>
      </c>
      <c r="M126" s="26" t="str">
        <f>IFERROR(__xludf.DUMMYFUNCTION("IF(B126="""","" "",IMPORTRANGE(B126,""'export'!h3""))")," ")</f>
        <v> </v>
      </c>
      <c r="N126" s="27" t="str">
        <f>IFERROR(__xludf.DUMMYFUNCTION("IF(B126="""","" "",IMPORTRANGE(B126,""'export'!h1""))")," ")</f>
        <v> </v>
      </c>
      <c r="O126" s="28" t="str">
        <f>IFERROR(__xludf.DUMMYFUNCTION("IF(B126="""","" "",IMPORTRANGE(B126,""'export'!h11""))")," ")</f>
        <v> </v>
      </c>
      <c r="P126" s="29" t="str">
        <f>IFERROR(__xludf.DUMMYFUNCTION("IF(B126="""","" "",IMPORTRANGE(B126,""'export'!i1""))")," ")</f>
        <v> </v>
      </c>
      <c r="Q126" s="30" t="str">
        <f>IFERROR(__xludf.DUMMYFUNCTION("IF(B126="""","" "",IMPORTRANGE(B126,""'export'!i13""))")," ")</f>
        <v> </v>
      </c>
      <c r="R126" s="31" t="str">
        <f t="shared" si="2"/>
        <v/>
      </c>
      <c r="S126" s="32" t="str">
        <f>IFERROR(__xludf.DUMMYFUNCTION("IF(B126="""","" "",IMPORTRANGE(B126,""'export'!g1""))")," ")</f>
        <v> </v>
      </c>
    </row>
    <row r="127">
      <c r="A127" s="18"/>
      <c r="B127" s="35"/>
      <c r="C127" s="20" t="str">
        <f>IFERROR(__xludf.DUMMYFUNCTION("IF(B127="""","" "",IMPORTRANGE(B127,""'Export'!m1""))")," ")</f>
        <v> </v>
      </c>
      <c r="D127" s="21" t="str">
        <f t="shared" si="1"/>
        <v> ,  ,  </v>
      </c>
      <c r="E127" s="22" t="str">
        <f>IFERROR(__xludf.DUMMYFUNCTION("IF(B127="""","" "",IMPORTRANGE(B127,""'EXPORT'!L1""))")," ")</f>
        <v> </v>
      </c>
      <c r="F127" s="23" t="str">
        <f>IFERROR(__xludf.DUMMYFUNCTION("IF(B127="""","" "",IMPORTRANGE(B127,""'Export'!a1""))")," ")</f>
        <v> </v>
      </c>
      <c r="G127" s="23" t="str">
        <f>IFERROR(__xludf.DUMMYFUNCTION("IF(B127="""","" "",IMPORTRANGE(B127,""'export'!b1""))")," ")</f>
        <v> </v>
      </c>
      <c r="H127" s="23" t="str">
        <f>IFERROR(__xludf.DUMMYFUNCTION("IF(B127="""","" "",IMPORTRANGE(B127,""'export'!c1""))")," ")</f>
        <v> </v>
      </c>
      <c r="I127" s="24" t="str">
        <f>IFERROR(__xludf.DUMMYFUNCTION("IF(B127="""","" "",IMPORTRANGE(B127,""'export'!d1""))")," ")</f>
        <v> </v>
      </c>
      <c r="J127" s="25" t="str">
        <f>IFERROR(__xludf.DUMMYFUNCTION("IF(B127="""","" "",IMPORTRANGE(B127,""'export'!e1""))")," ")</f>
        <v> </v>
      </c>
      <c r="K127" s="25"/>
      <c r="L127" s="21" t="str">
        <f>IFERROR(__xludf.DUMMYFUNCTION("IF(B127="""","" "",IMPORTRANGE(B127,""'export'!f1""))")," ")</f>
        <v> </v>
      </c>
      <c r="M127" s="26" t="str">
        <f>IFERROR(__xludf.DUMMYFUNCTION("IF(B127="""","" "",IMPORTRANGE(B127,""'export'!h3""))")," ")</f>
        <v> </v>
      </c>
      <c r="N127" s="27" t="str">
        <f>IFERROR(__xludf.DUMMYFUNCTION("IF(B127="""","" "",IMPORTRANGE(B127,""'export'!h1""))")," ")</f>
        <v> </v>
      </c>
      <c r="O127" s="28" t="str">
        <f>IFERROR(__xludf.DUMMYFUNCTION("IF(B127="""","" "",IMPORTRANGE(B127,""'export'!h11""))")," ")</f>
        <v> </v>
      </c>
      <c r="P127" s="29" t="str">
        <f>IFERROR(__xludf.DUMMYFUNCTION("IF(B127="""","" "",IMPORTRANGE(B127,""'export'!i1""))")," ")</f>
        <v> </v>
      </c>
      <c r="Q127" s="30" t="str">
        <f>IFERROR(__xludf.DUMMYFUNCTION("IF(B127="""","" "",IMPORTRANGE(B127,""'export'!i13""))")," ")</f>
        <v> </v>
      </c>
      <c r="R127" s="31" t="str">
        <f t="shared" si="2"/>
        <v/>
      </c>
      <c r="S127" s="32" t="str">
        <f>IFERROR(__xludf.DUMMYFUNCTION("IF(B127="""","" "",IMPORTRANGE(B127,""'export'!g1""))")," ")</f>
        <v> </v>
      </c>
    </row>
    <row r="128">
      <c r="A128" s="18"/>
      <c r="B128" s="35"/>
      <c r="C128" s="20" t="str">
        <f>IFERROR(__xludf.DUMMYFUNCTION("IF(B128="""","" "",IMPORTRANGE(B128,""'Export'!m1""))")," ")</f>
        <v> </v>
      </c>
      <c r="D128" s="21" t="str">
        <f t="shared" si="1"/>
        <v> ,  ,  </v>
      </c>
      <c r="E128" s="22" t="str">
        <f>IFERROR(__xludf.DUMMYFUNCTION("IF(B128="""","" "",IMPORTRANGE(B128,""'EXPORT'!L1""))")," ")</f>
        <v> </v>
      </c>
      <c r="F128" s="23" t="str">
        <f>IFERROR(__xludf.DUMMYFUNCTION("IF(B128="""","" "",IMPORTRANGE(B128,""'Export'!a1""))")," ")</f>
        <v> </v>
      </c>
      <c r="G128" s="23" t="str">
        <f>IFERROR(__xludf.DUMMYFUNCTION("IF(B128="""","" "",IMPORTRANGE(B128,""'export'!b1""))")," ")</f>
        <v> </v>
      </c>
      <c r="H128" s="23" t="str">
        <f>IFERROR(__xludf.DUMMYFUNCTION("IF(B128="""","" "",IMPORTRANGE(B128,""'export'!c1""))")," ")</f>
        <v> </v>
      </c>
      <c r="I128" s="24" t="str">
        <f>IFERROR(__xludf.DUMMYFUNCTION("IF(B128="""","" "",IMPORTRANGE(B128,""'export'!d1""))")," ")</f>
        <v> </v>
      </c>
      <c r="J128" s="25" t="str">
        <f>IFERROR(__xludf.DUMMYFUNCTION("IF(B128="""","" "",IMPORTRANGE(B128,""'export'!e1""))")," ")</f>
        <v> </v>
      </c>
      <c r="K128" s="25"/>
      <c r="L128" s="21" t="str">
        <f>IFERROR(__xludf.DUMMYFUNCTION("IF(B128="""","" "",IMPORTRANGE(B128,""'export'!f1""))")," ")</f>
        <v> </v>
      </c>
      <c r="M128" s="26" t="str">
        <f>IFERROR(__xludf.DUMMYFUNCTION("IF(B128="""","" "",IMPORTRANGE(B128,""'export'!h3""))")," ")</f>
        <v> </v>
      </c>
      <c r="N128" s="27" t="str">
        <f>IFERROR(__xludf.DUMMYFUNCTION("IF(B128="""","" "",IMPORTRANGE(B128,""'export'!h1""))")," ")</f>
        <v> </v>
      </c>
      <c r="O128" s="28" t="str">
        <f>IFERROR(__xludf.DUMMYFUNCTION("IF(B128="""","" "",IMPORTRANGE(B128,""'export'!h11""))")," ")</f>
        <v> </v>
      </c>
      <c r="P128" s="29" t="str">
        <f>IFERROR(__xludf.DUMMYFUNCTION("IF(B128="""","" "",IMPORTRANGE(B128,""'export'!i1""))")," ")</f>
        <v> </v>
      </c>
      <c r="Q128" s="30" t="str">
        <f>IFERROR(__xludf.DUMMYFUNCTION("IF(B128="""","" "",IMPORTRANGE(B128,""'export'!i13""))")," ")</f>
        <v> </v>
      </c>
      <c r="R128" s="31" t="str">
        <f t="shared" si="2"/>
        <v/>
      </c>
      <c r="S128" s="32" t="str">
        <f>IFERROR(__xludf.DUMMYFUNCTION("IF(B128="""","" "",IMPORTRANGE(B128,""'export'!g1""))")," ")</f>
        <v> </v>
      </c>
    </row>
    <row r="129">
      <c r="A129" s="18"/>
      <c r="B129" s="35"/>
      <c r="C129" s="20" t="str">
        <f>IFERROR(__xludf.DUMMYFUNCTION("IF(B129="""","" "",IMPORTRANGE(B129,""'Export'!m1""))")," ")</f>
        <v> </v>
      </c>
      <c r="D129" s="21" t="str">
        <f t="shared" si="1"/>
        <v> ,  ,  </v>
      </c>
      <c r="E129" s="22" t="str">
        <f>IFERROR(__xludf.DUMMYFUNCTION("IF(B129="""","" "",IMPORTRANGE(B129,""'EXPORT'!L1""))")," ")</f>
        <v> </v>
      </c>
      <c r="F129" s="23" t="str">
        <f>IFERROR(__xludf.DUMMYFUNCTION("IF(B129="""","" "",IMPORTRANGE(B129,""'Export'!a1""))")," ")</f>
        <v> </v>
      </c>
      <c r="G129" s="23" t="str">
        <f>IFERROR(__xludf.DUMMYFUNCTION("IF(B129="""","" "",IMPORTRANGE(B129,""'export'!b1""))")," ")</f>
        <v> </v>
      </c>
      <c r="H129" s="23" t="str">
        <f>IFERROR(__xludf.DUMMYFUNCTION("IF(B129="""","" "",IMPORTRANGE(B129,""'export'!c1""))")," ")</f>
        <v> </v>
      </c>
      <c r="I129" s="24" t="str">
        <f>IFERROR(__xludf.DUMMYFUNCTION("IF(B129="""","" "",IMPORTRANGE(B129,""'export'!d1""))")," ")</f>
        <v> </v>
      </c>
      <c r="J129" s="25" t="str">
        <f>IFERROR(__xludf.DUMMYFUNCTION("IF(B129="""","" "",IMPORTRANGE(B129,""'export'!e1""))")," ")</f>
        <v> </v>
      </c>
      <c r="K129" s="25"/>
      <c r="L129" s="21" t="str">
        <f>IFERROR(__xludf.DUMMYFUNCTION("IF(B129="""","" "",IMPORTRANGE(B129,""'export'!f1""))")," ")</f>
        <v> </v>
      </c>
      <c r="M129" s="26" t="str">
        <f>IFERROR(__xludf.DUMMYFUNCTION("IF(B129="""","" "",IMPORTRANGE(B129,""'export'!h3""))")," ")</f>
        <v> </v>
      </c>
      <c r="N129" s="27" t="str">
        <f>IFERROR(__xludf.DUMMYFUNCTION("IF(B129="""","" "",IMPORTRANGE(B129,""'export'!h1""))")," ")</f>
        <v> </v>
      </c>
      <c r="O129" s="28" t="str">
        <f>IFERROR(__xludf.DUMMYFUNCTION("IF(B129="""","" "",IMPORTRANGE(B129,""'export'!h11""))")," ")</f>
        <v> </v>
      </c>
      <c r="P129" s="29" t="str">
        <f>IFERROR(__xludf.DUMMYFUNCTION("IF(B129="""","" "",IMPORTRANGE(B129,""'export'!i1""))")," ")</f>
        <v> </v>
      </c>
      <c r="Q129" s="30" t="str">
        <f>IFERROR(__xludf.DUMMYFUNCTION("IF(B129="""","" "",IMPORTRANGE(B129,""'export'!i13""))")," ")</f>
        <v> </v>
      </c>
      <c r="R129" s="31" t="str">
        <f t="shared" si="2"/>
        <v/>
      </c>
      <c r="S129" s="32" t="str">
        <f>IFERROR(__xludf.DUMMYFUNCTION("IF(B129="""","" "",IMPORTRANGE(B129,""'export'!g1""))")," ")</f>
        <v> </v>
      </c>
    </row>
    <row r="130">
      <c r="A130" s="18"/>
      <c r="B130" s="35"/>
      <c r="C130" s="20" t="str">
        <f>IFERROR(__xludf.DUMMYFUNCTION("IF(B130="""","" "",IMPORTRANGE(B130,""'Export'!m1""))")," ")</f>
        <v> </v>
      </c>
      <c r="D130" s="21" t="str">
        <f t="shared" si="1"/>
        <v> ,  ,  </v>
      </c>
      <c r="E130" s="22" t="str">
        <f>IFERROR(__xludf.DUMMYFUNCTION("IF(B130="""","" "",IMPORTRANGE(B130,""'EXPORT'!L1""))")," ")</f>
        <v> </v>
      </c>
      <c r="F130" s="23" t="str">
        <f>IFERROR(__xludf.DUMMYFUNCTION("IF(B130="""","" "",IMPORTRANGE(B130,""'Export'!a1""))")," ")</f>
        <v> </v>
      </c>
      <c r="G130" s="23" t="str">
        <f>IFERROR(__xludf.DUMMYFUNCTION("IF(B130="""","" "",IMPORTRANGE(B130,""'export'!b1""))")," ")</f>
        <v> </v>
      </c>
      <c r="H130" s="23" t="str">
        <f>IFERROR(__xludf.DUMMYFUNCTION("IF(B130="""","" "",IMPORTRANGE(B130,""'export'!c1""))")," ")</f>
        <v> </v>
      </c>
      <c r="I130" s="24" t="str">
        <f>IFERROR(__xludf.DUMMYFUNCTION("IF(B130="""","" "",IMPORTRANGE(B130,""'export'!d1""))")," ")</f>
        <v> </v>
      </c>
      <c r="J130" s="25" t="str">
        <f>IFERROR(__xludf.DUMMYFUNCTION("IF(B130="""","" "",IMPORTRANGE(B130,""'export'!e1""))")," ")</f>
        <v> </v>
      </c>
      <c r="K130" s="25"/>
      <c r="L130" s="21" t="str">
        <f>IFERROR(__xludf.DUMMYFUNCTION("IF(B130="""","" "",IMPORTRANGE(B130,""'export'!f1""))")," ")</f>
        <v> </v>
      </c>
      <c r="M130" s="26" t="str">
        <f>IFERROR(__xludf.DUMMYFUNCTION("IF(B130="""","" "",IMPORTRANGE(B130,""'export'!h3""))")," ")</f>
        <v> </v>
      </c>
      <c r="N130" s="27" t="str">
        <f>IFERROR(__xludf.DUMMYFUNCTION("IF(B130="""","" "",IMPORTRANGE(B130,""'export'!h1""))")," ")</f>
        <v> </v>
      </c>
      <c r="O130" s="28" t="str">
        <f>IFERROR(__xludf.DUMMYFUNCTION("IF(B130="""","" "",IMPORTRANGE(B130,""'export'!h11""))")," ")</f>
        <v> </v>
      </c>
      <c r="P130" s="29" t="str">
        <f>IFERROR(__xludf.DUMMYFUNCTION("IF(B130="""","" "",IMPORTRANGE(B130,""'export'!i1""))")," ")</f>
        <v> </v>
      </c>
      <c r="Q130" s="30" t="str">
        <f>IFERROR(__xludf.DUMMYFUNCTION("IF(B130="""","" "",IMPORTRANGE(B130,""'export'!i13""))")," ")</f>
        <v> </v>
      </c>
      <c r="R130" s="31" t="str">
        <f t="shared" si="2"/>
        <v/>
      </c>
      <c r="S130" s="32" t="str">
        <f>IFERROR(__xludf.DUMMYFUNCTION("IF(B130="""","" "",IMPORTRANGE(B130,""'export'!g1""))")," ")</f>
        <v> </v>
      </c>
    </row>
    <row r="131">
      <c r="A131" s="18"/>
      <c r="B131" s="35"/>
      <c r="C131" s="20" t="str">
        <f>IFERROR(__xludf.DUMMYFUNCTION("IF(B131="""","" "",IMPORTRANGE(B131,""'Export'!m1""))")," ")</f>
        <v> </v>
      </c>
      <c r="D131" s="21" t="str">
        <f t="shared" si="1"/>
        <v> ,  ,  </v>
      </c>
      <c r="E131" s="22" t="str">
        <f>IFERROR(__xludf.DUMMYFUNCTION("IF(B131="""","" "",IMPORTRANGE(B131,""'EXPORT'!L1""))")," ")</f>
        <v> </v>
      </c>
      <c r="F131" s="23" t="str">
        <f>IFERROR(__xludf.DUMMYFUNCTION("IF(B131="""","" "",IMPORTRANGE(B131,""'Export'!a1""))")," ")</f>
        <v> </v>
      </c>
      <c r="G131" s="23" t="str">
        <f>IFERROR(__xludf.DUMMYFUNCTION("IF(B131="""","" "",IMPORTRANGE(B131,""'export'!b1""))")," ")</f>
        <v> </v>
      </c>
      <c r="H131" s="23" t="str">
        <f>IFERROR(__xludf.DUMMYFUNCTION("IF(B131="""","" "",IMPORTRANGE(B131,""'export'!c1""))")," ")</f>
        <v> </v>
      </c>
      <c r="I131" s="24" t="str">
        <f>IFERROR(__xludf.DUMMYFUNCTION("IF(B131="""","" "",IMPORTRANGE(B131,""'export'!d1""))")," ")</f>
        <v> </v>
      </c>
      <c r="J131" s="25" t="str">
        <f>IFERROR(__xludf.DUMMYFUNCTION("IF(B131="""","" "",IMPORTRANGE(B131,""'export'!e1""))")," ")</f>
        <v> </v>
      </c>
      <c r="K131" s="25"/>
      <c r="L131" s="21" t="str">
        <f>IFERROR(__xludf.DUMMYFUNCTION("IF(B131="""","" "",IMPORTRANGE(B131,""'export'!f1""))")," ")</f>
        <v> </v>
      </c>
      <c r="M131" s="26" t="str">
        <f>IFERROR(__xludf.DUMMYFUNCTION("IF(B131="""","" "",IMPORTRANGE(B131,""'export'!h3""))")," ")</f>
        <v> </v>
      </c>
      <c r="N131" s="27" t="str">
        <f>IFERROR(__xludf.DUMMYFUNCTION("IF(B131="""","" "",IMPORTRANGE(B131,""'export'!h1""))")," ")</f>
        <v> </v>
      </c>
      <c r="O131" s="28" t="str">
        <f>IFERROR(__xludf.DUMMYFUNCTION("IF(B131="""","" "",IMPORTRANGE(B131,""'export'!h11""))")," ")</f>
        <v> </v>
      </c>
      <c r="P131" s="29" t="str">
        <f>IFERROR(__xludf.DUMMYFUNCTION("IF(B131="""","" "",IMPORTRANGE(B131,""'export'!i1""))")," ")</f>
        <v> </v>
      </c>
      <c r="Q131" s="30" t="str">
        <f>IFERROR(__xludf.DUMMYFUNCTION("IF(B131="""","" "",IMPORTRANGE(B131,""'export'!i13""))")," ")</f>
        <v> </v>
      </c>
      <c r="R131" s="31" t="str">
        <f t="shared" si="2"/>
        <v/>
      </c>
      <c r="S131" s="32" t="str">
        <f>IFERROR(__xludf.DUMMYFUNCTION("IF(B131="""","" "",IMPORTRANGE(B131,""'export'!g1""))")," ")</f>
        <v> </v>
      </c>
    </row>
    <row r="132">
      <c r="A132" s="18"/>
      <c r="B132" s="35"/>
      <c r="C132" s="20" t="str">
        <f>IFERROR(__xludf.DUMMYFUNCTION("IF(B132="""","" "",IMPORTRANGE(B132,""'Export'!m1""))")," ")</f>
        <v> </v>
      </c>
      <c r="D132" s="21" t="str">
        <f t="shared" si="1"/>
        <v> ,  ,  </v>
      </c>
      <c r="E132" s="22" t="str">
        <f>IFERROR(__xludf.DUMMYFUNCTION("IF(B132="""","" "",IMPORTRANGE(B132,""'EXPORT'!L1""))")," ")</f>
        <v> </v>
      </c>
      <c r="F132" s="23" t="str">
        <f>IFERROR(__xludf.DUMMYFUNCTION("IF(B132="""","" "",IMPORTRANGE(B132,""'Export'!a1""))")," ")</f>
        <v> </v>
      </c>
      <c r="G132" s="23" t="str">
        <f>IFERROR(__xludf.DUMMYFUNCTION("IF(B132="""","" "",IMPORTRANGE(B132,""'export'!b1""))")," ")</f>
        <v> </v>
      </c>
      <c r="H132" s="23" t="str">
        <f>IFERROR(__xludf.DUMMYFUNCTION("IF(B132="""","" "",IMPORTRANGE(B132,""'export'!c1""))")," ")</f>
        <v> </v>
      </c>
      <c r="I132" s="24" t="str">
        <f>IFERROR(__xludf.DUMMYFUNCTION("IF(B132="""","" "",IMPORTRANGE(B132,""'export'!d1""))")," ")</f>
        <v> </v>
      </c>
      <c r="J132" s="25" t="str">
        <f>IFERROR(__xludf.DUMMYFUNCTION("IF(B132="""","" "",IMPORTRANGE(B132,""'export'!e1""))")," ")</f>
        <v> </v>
      </c>
      <c r="K132" s="25"/>
      <c r="L132" s="21" t="str">
        <f>IFERROR(__xludf.DUMMYFUNCTION("IF(B132="""","" "",IMPORTRANGE(B132,""'export'!f1""))")," ")</f>
        <v> </v>
      </c>
      <c r="M132" s="26" t="str">
        <f>IFERROR(__xludf.DUMMYFUNCTION("IF(B132="""","" "",IMPORTRANGE(B132,""'export'!h3""))")," ")</f>
        <v> </v>
      </c>
      <c r="N132" s="27" t="str">
        <f>IFERROR(__xludf.DUMMYFUNCTION("IF(B132="""","" "",IMPORTRANGE(B132,""'export'!h1""))")," ")</f>
        <v> </v>
      </c>
      <c r="O132" s="28" t="str">
        <f>IFERROR(__xludf.DUMMYFUNCTION("IF(B132="""","" "",IMPORTRANGE(B132,""'export'!h11""))")," ")</f>
        <v> </v>
      </c>
      <c r="P132" s="29" t="str">
        <f>IFERROR(__xludf.DUMMYFUNCTION("IF(B132="""","" "",IMPORTRANGE(B132,""'export'!i1""))")," ")</f>
        <v> </v>
      </c>
      <c r="Q132" s="30" t="str">
        <f>IFERROR(__xludf.DUMMYFUNCTION("IF(B132="""","" "",IMPORTRANGE(B132,""'export'!i13""))")," ")</f>
        <v> </v>
      </c>
      <c r="R132" s="31" t="str">
        <f t="shared" si="2"/>
        <v/>
      </c>
      <c r="S132" s="32" t="str">
        <f>IFERROR(__xludf.DUMMYFUNCTION("IF(B132="""","" "",IMPORTRANGE(B132,""'export'!g1""))")," ")</f>
        <v> </v>
      </c>
    </row>
    <row r="133">
      <c r="A133" s="18"/>
      <c r="B133" s="35"/>
      <c r="C133" s="20" t="str">
        <f>IFERROR(__xludf.DUMMYFUNCTION("IF(B133="""","" "",IMPORTRANGE(B133,""'Export'!m1""))")," ")</f>
        <v> </v>
      </c>
      <c r="D133" s="21" t="str">
        <f t="shared" si="1"/>
        <v> ,  ,  </v>
      </c>
      <c r="E133" s="22" t="str">
        <f>IFERROR(__xludf.DUMMYFUNCTION("IF(B133="""","" "",IMPORTRANGE(B133,""'EXPORT'!L1""))")," ")</f>
        <v> </v>
      </c>
      <c r="F133" s="23" t="str">
        <f>IFERROR(__xludf.DUMMYFUNCTION("IF(B133="""","" "",IMPORTRANGE(B133,""'Export'!a1""))")," ")</f>
        <v> </v>
      </c>
      <c r="G133" s="23" t="str">
        <f>IFERROR(__xludf.DUMMYFUNCTION("IF(B133="""","" "",IMPORTRANGE(B133,""'export'!b1""))")," ")</f>
        <v> </v>
      </c>
      <c r="H133" s="23" t="str">
        <f>IFERROR(__xludf.DUMMYFUNCTION("IF(B133="""","" "",IMPORTRANGE(B133,""'export'!c1""))")," ")</f>
        <v> </v>
      </c>
      <c r="I133" s="24" t="str">
        <f>IFERROR(__xludf.DUMMYFUNCTION("IF(B133="""","" "",IMPORTRANGE(B133,""'export'!d1""))")," ")</f>
        <v> </v>
      </c>
      <c r="J133" s="25" t="str">
        <f>IFERROR(__xludf.DUMMYFUNCTION("IF(B133="""","" "",IMPORTRANGE(B133,""'export'!e1""))")," ")</f>
        <v> </v>
      </c>
      <c r="K133" s="25"/>
      <c r="L133" s="21" t="str">
        <f>IFERROR(__xludf.DUMMYFUNCTION("IF(B133="""","" "",IMPORTRANGE(B133,""'export'!f1""))")," ")</f>
        <v> </v>
      </c>
      <c r="M133" s="26" t="str">
        <f>IFERROR(__xludf.DUMMYFUNCTION("IF(B133="""","" "",IMPORTRANGE(B133,""'export'!h3""))")," ")</f>
        <v> </v>
      </c>
      <c r="N133" s="27" t="str">
        <f>IFERROR(__xludf.DUMMYFUNCTION("IF(B133="""","" "",IMPORTRANGE(B133,""'export'!h1""))")," ")</f>
        <v> </v>
      </c>
      <c r="O133" s="28" t="str">
        <f>IFERROR(__xludf.DUMMYFUNCTION("IF(B133="""","" "",IMPORTRANGE(B133,""'export'!h11""))")," ")</f>
        <v> </v>
      </c>
      <c r="P133" s="29" t="str">
        <f>IFERROR(__xludf.DUMMYFUNCTION("IF(B133="""","" "",IMPORTRANGE(B133,""'export'!i1""))")," ")</f>
        <v> </v>
      </c>
      <c r="Q133" s="30" t="str">
        <f>IFERROR(__xludf.DUMMYFUNCTION("IF(B133="""","" "",IMPORTRANGE(B133,""'export'!i13""))")," ")</f>
        <v> </v>
      </c>
      <c r="R133" s="31" t="str">
        <f t="shared" si="2"/>
        <v/>
      </c>
      <c r="S133" s="32" t="str">
        <f>IFERROR(__xludf.DUMMYFUNCTION("IF(B133="""","" "",IMPORTRANGE(B133,""'export'!g1""))")," ")</f>
        <v> </v>
      </c>
    </row>
    <row r="134">
      <c r="A134" s="18"/>
      <c r="B134" s="35"/>
      <c r="C134" s="20" t="str">
        <f>IFERROR(__xludf.DUMMYFUNCTION("IF(B134="""","" "",IMPORTRANGE(B134,""'Export'!m1""))")," ")</f>
        <v> </v>
      </c>
      <c r="D134" s="21" t="str">
        <f t="shared" si="1"/>
        <v> ,  ,  </v>
      </c>
      <c r="E134" s="22" t="str">
        <f>IFERROR(__xludf.DUMMYFUNCTION("IF(B134="""","" "",IMPORTRANGE(B134,""'EXPORT'!L1""))")," ")</f>
        <v> </v>
      </c>
      <c r="F134" s="23" t="str">
        <f>IFERROR(__xludf.DUMMYFUNCTION("IF(B134="""","" "",IMPORTRANGE(B134,""'Export'!a1""))")," ")</f>
        <v> </v>
      </c>
      <c r="G134" s="23" t="str">
        <f>IFERROR(__xludf.DUMMYFUNCTION("IF(B134="""","" "",IMPORTRANGE(B134,""'export'!b1""))")," ")</f>
        <v> </v>
      </c>
      <c r="H134" s="23" t="str">
        <f>IFERROR(__xludf.DUMMYFUNCTION("IF(B134="""","" "",IMPORTRANGE(B134,""'export'!c1""))")," ")</f>
        <v> </v>
      </c>
      <c r="I134" s="24" t="str">
        <f>IFERROR(__xludf.DUMMYFUNCTION("IF(B134="""","" "",IMPORTRANGE(B134,""'export'!d1""))")," ")</f>
        <v> </v>
      </c>
      <c r="J134" s="25" t="str">
        <f>IFERROR(__xludf.DUMMYFUNCTION("IF(B134="""","" "",IMPORTRANGE(B134,""'export'!e1""))")," ")</f>
        <v> </v>
      </c>
      <c r="K134" s="25"/>
      <c r="L134" s="21" t="str">
        <f>IFERROR(__xludf.DUMMYFUNCTION("IF(B134="""","" "",IMPORTRANGE(B134,""'export'!f1""))")," ")</f>
        <v> </v>
      </c>
      <c r="M134" s="26" t="str">
        <f>IFERROR(__xludf.DUMMYFUNCTION("IF(B134="""","" "",IMPORTRANGE(B134,""'export'!h3""))")," ")</f>
        <v> </v>
      </c>
      <c r="N134" s="27" t="str">
        <f>IFERROR(__xludf.DUMMYFUNCTION("IF(B134="""","" "",IMPORTRANGE(B134,""'export'!h1""))")," ")</f>
        <v> </v>
      </c>
      <c r="O134" s="28" t="str">
        <f>IFERROR(__xludf.DUMMYFUNCTION("IF(B134="""","" "",IMPORTRANGE(B134,""'export'!h11""))")," ")</f>
        <v> </v>
      </c>
      <c r="P134" s="29" t="str">
        <f>IFERROR(__xludf.DUMMYFUNCTION("IF(B134="""","" "",IMPORTRANGE(B134,""'export'!i1""))")," ")</f>
        <v> </v>
      </c>
      <c r="Q134" s="30" t="str">
        <f>IFERROR(__xludf.DUMMYFUNCTION("IF(B134="""","" "",IMPORTRANGE(B134,""'export'!i13""))")," ")</f>
        <v> </v>
      </c>
      <c r="R134" s="31" t="str">
        <f t="shared" si="2"/>
        <v/>
      </c>
      <c r="S134" s="32" t="str">
        <f>IFERROR(__xludf.DUMMYFUNCTION("IF(B134="""","" "",IMPORTRANGE(B134,""'export'!g1""))")," ")</f>
        <v> </v>
      </c>
    </row>
    <row r="135">
      <c r="A135" s="18"/>
      <c r="B135" s="35"/>
      <c r="C135" s="20" t="str">
        <f>IFERROR(__xludf.DUMMYFUNCTION("IF(B135="""","" "",IMPORTRANGE(B135,""'Export'!m1""))")," ")</f>
        <v> </v>
      </c>
      <c r="D135" s="21" t="str">
        <f t="shared" si="1"/>
        <v> ,  ,  </v>
      </c>
      <c r="E135" s="22" t="str">
        <f>IFERROR(__xludf.DUMMYFUNCTION("IF(B135="""","" "",IMPORTRANGE(B135,""'EXPORT'!L1""))")," ")</f>
        <v> </v>
      </c>
      <c r="F135" s="23" t="str">
        <f>IFERROR(__xludf.DUMMYFUNCTION("IF(B135="""","" "",IMPORTRANGE(B135,""'Export'!a1""))")," ")</f>
        <v> </v>
      </c>
      <c r="G135" s="23" t="str">
        <f>IFERROR(__xludf.DUMMYFUNCTION("IF(B135="""","" "",IMPORTRANGE(B135,""'export'!b1""))")," ")</f>
        <v> </v>
      </c>
      <c r="H135" s="23" t="str">
        <f>IFERROR(__xludf.DUMMYFUNCTION("IF(B135="""","" "",IMPORTRANGE(B135,""'export'!c1""))")," ")</f>
        <v> </v>
      </c>
      <c r="I135" s="24" t="str">
        <f>IFERROR(__xludf.DUMMYFUNCTION("IF(B135="""","" "",IMPORTRANGE(B135,""'export'!d1""))")," ")</f>
        <v> </v>
      </c>
      <c r="J135" s="25" t="str">
        <f>IFERROR(__xludf.DUMMYFUNCTION("IF(B135="""","" "",IMPORTRANGE(B135,""'export'!e1""))")," ")</f>
        <v> </v>
      </c>
      <c r="K135" s="25"/>
      <c r="L135" s="21" t="str">
        <f>IFERROR(__xludf.DUMMYFUNCTION("IF(B135="""","" "",IMPORTRANGE(B135,""'export'!f1""))")," ")</f>
        <v> </v>
      </c>
      <c r="M135" s="26" t="str">
        <f>IFERROR(__xludf.DUMMYFUNCTION("IF(B135="""","" "",IMPORTRANGE(B135,""'export'!h3""))")," ")</f>
        <v> </v>
      </c>
      <c r="N135" s="27" t="str">
        <f>IFERROR(__xludf.DUMMYFUNCTION("IF(B135="""","" "",IMPORTRANGE(B135,""'export'!h1""))")," ")</f>
        <v> </v>
      </c>
      <c r="O135" s="28" t="str">
        <f>IFERROR(__xludf.DUMMYFUNCTION("IF(B135="""","" "",IMPORTRANGE(B135,""'export'!h11""))")," ")</f>
        <v> </v>
      </c>
      <c r="P135" s="29" t="str">
        <f>IFERROR(__xludf.DUMMYFUNCTION("IF(B135="""","" "",IMPORTRANGE(B135,""'export'!i1""))")," ")</f>
        <v> </v>
      </c>
      <c r="Q135" s="30" t="str">
        <f>IFERROR(__xludf.DUMMYFUNCTION("IF(B135="""","" "",IMPORTRANGE(B135,""'export'!i13""))")," ")</f>
        <v> </v>
      </c>
      <c r="R135" s="31" t="str">
        <f t="shared" si="2"/>
        <v/>
      </c>
      <c r="S135" s="32" t="str">
        <f>IFERROR(__xludf.DUMMYFUNCTION("IF(B135="""","" "",IMPORTRANGE(B135,""'export'!g1""))")," ")</f>
        <v> </v>
      </c>
    </row>
    <row r="136">
      <c r="A136" s="18"/>
      <c r="B136" s="35"/>
      <c r="C136" s="20" t="str">
        <f>IFERROR(__xludf.DUMMYFUNCTION("IF(B136="""","" "",IMPORTRANGE(B136,""'Export'!m1""))")," ")</f>
        <v> </v>
      </c>
      <c r="D136" s="21" t="str">
        <f t="shared" si="1"/>
        <v> ,  ,  </v>
      </c>
      <c r="E136" s="22" t="str">
        <f>IFERROR(__xludf.DUMMYFUNCTION("IF(B136="""","" "",IMPORTRANGE(B136,""'EXPORT'!L1""))")," ")</f>
        <v> </v>
      </c>
      <c r="F136" s="23" t="str">
        <f>IFERROR(__xludf.DUMMYFUNCTION("IF(B136="""","" "",IMPORTRANGE(B136,""'Export'!a1""))")," ")</f>
        <v> </v>
      </c>
      <c r="G136" s="23" t="str">
        <f>IFERROR(__xludf.DUMMYFUNCTION("IF(B136="""","" "",IMPORTRANGE(B136,""'export'!b1""))")," ")</f>
        <v> </v>
      </c>
      <c r="H136" s="23" t="str">
        <f>IFERROR(__xludf.DUMMYFUNCTION("IF(B136="""","" "",IMPORTRANGE(B136,""'export'!c1""))")," ")</f>
        <v> </v>
      </c>
      <c r="I136" s="24" t="str">
        <f>IFERROR(__xludf.DUMMYFUNCTION("IF(B136="""","" "",IMPORTRANGE(B136,""'export'!d1""))")," ")</f>
        <v> </v>
      </c>
      <c r="J136" s="25" t="str">
        <f>IFERROR(__xludf.DUMMYFUNCTION("IF(B136="""","" "",IMPORTRANGE(B136,""'export'!e1""))")," ")</f>
        <v> </v>
      </c>
      <c r="K136" s="25"/>
      <c r="L136" s="21" t="str">
        <f>IFERROR(__xludf.DUMMYFUNCTION("IF(B136="""","" "",IMPORTRANGE(B136,""'export'!f1""))")," ")</f>
        <v> </v>
      </c>
      <c r="M136" s="26" t="str">
        <f>IFERROR(__xludf.DUMMYFUNCTION("IF(B136="""","" "",IMPORTRANGE(B136,""'export'!h3""))")," ")</f>
        <v> </v>
      </c>
      <c r="N136" s="27" t="str">
        <f>IFERROR(__xludf.DUMMYFUNCTION("IF(B136="""","" "",IMPORTRANGE(B136,""'export'!h1""))")," ")</f>
        <v> </v>
      </c>
      <c r="O136" s="28" t="str">
        <f>IFERROR(__xludf.DUMMYFUNCTION("IF(B136="""","" "",IMPORTRANGE(B136,""'export'!h11""))")," ")</f>
        <v> </v>
      </c>
      <c r="P136" s="29" t="str">
        <f>IFERROR(__xludf.DUMMYFUNCTION("IF(B136="""","" "",IMPORTRANGE(B136,""'export'!i1""))")," ")</f>
        <v> </v>
      </c>
      <c r="Q136" s="30" t="str">
        <f>IFERROR(__xludf.DUMMYFUNCTION("IF(B136="""","" "",IMPORTRANGE(B136,""'export'!i13""))")," ")</f>
        <v> </v>
      </c>
      <c r="R136" s="31" t="str">
        <f t="shared" si="2"/>
        <v/>
      </c>
      <c r="S136" s="32" t="str">
        <f>IFERROR(__xludf.DUMMYFUNCTION("IF(B136="""","" "",IMPORTRANGE(B136,""'export'!g1""))")," ")</f>
        <v> </v>
      </c>
    </row>
    <row r="137">
      <c r="A137" s="18"/>
      <c r="B137" s="35"/>
      <c r="C137" s="20" t="str">
        <f>IFERROR(__xludf.DUMMYFUNCTION("IF(B137="""","" "",IMPORTRANGE(B137,""'Export'!m1""))")," ")</f>
        <v> </v>
      </c>
      <c r="D137" s="21" t="str">
        <f t="shared" si="1"/>
        <v> ,  ,  </v>
      </c>
      <c r="E137" s="22" t="str">
        <f>IFERROR(__xludf.DUMMYFUNCTION("IF(B137="""","" "",IMPORTRANGE(B137,""'EXPORT'!L1""))")," ")</f>
        <v> </v>
      </c>
      <c r="F137" s="23" t="str">
        <f>IFERROR(__xludf.DUMMYFUNCTION("IF(B137="""","" "",IMPORTRANGE(B137,""'Export'!a1""))")," ")</f>
        <v> </v>
      </c>
      <c r="G137" s="23" t="str">
        <f>IFERROR(__xludf.DUMMYFUNCTION("IF(B137="""","" "",IMPORTRANGE(B137,""'export'!b1""))")," ")</f>
        <v> </v>
      </c>
      <c r="H137" s="23" t="str">
        <f>IFERROR(__xludf.DUMMYFUNCTION("IF(B137="""","" "",IMPORTRANGE(B137,""'export'!c1""))")," ")</f>
        <v> </v>
      </c>
      <c r="I137" s="24" t="str">
        <f>IFERROR(__xludf.DUMMYFUNCTION("IF(B137="""","" "",IMPORTRANGE(B137,""'export'!d1""))")," ")</f>
        <v> </v>
      </c>
      <c r="J137" s="25" t="str">
        <f>IFERROR(__xludf.DUMMYFUNCTION("IF(B137="""","" "",IMPORTRANGE(B137,""'export'!e1""))")," ")</f>
        <v> </v>
      </c>
      <c r="K137" s="25"/>
      <c r="L137" s="21" t="str">
        <f>IFERROR(__xludf.DUMMYFUNCTION("IF(B137="""","" "",IMPORTRANGE(B137,""'export'!f1""))")," ")</f>
        <v> </v>
      </c>
      <c r="M137" s="26" t="str">
        <f>IFERROR(__xludf.DUMMYFUNCTION("IF(B137="""","" "",IMPORTRANGE(B137,""'export'!h3""))")," ")</f>
        <v> </v>
      </c>
      <c r="N137" s="27" t="str">
        <f>IFERROR(__xludf.DUMMYFUNCTION("IF(B137="""","" "",IMPORTRANGE(B137,""'export'!h1""))")," ")</f>
        <v> </v>
      </c>
      <c r="O137" s="28" t="str">
        <f>IFERROR(__xludf.DUMMYFUNCTION("IF(B137="""","" "",IMPORTRANGE(B137,""'export'!h11""))")," ")</f>
        <v> </v>
      </c>
      <c r="P137" s="29" t="str">
        <f>IFERROR(__xludf.DUMMYFUNCTION("IF(B137="""","" "",IMPORTRANGE(B137,""'export'!i1""))")," ")</f>
        <v> </v>
      </c>
      <c r="Q137" s="30" t="str">
        <f>IFERROR(__xludf.DUMMYFUNCTION("IF(B137="""","" "",IMPORTRANGE(B137,""'export'!i13""))")," ")</f>
        <v> </v>
      </c>
      <c r="R137" s="31" t="str">
        <f t="shared" si="2"/>
        <v/>
      </c>
      <c r="S137" s="32" t="str">
        <f>IFERROR(__xludf.DUMMYFUNCTION("IF(B137="""","" "",IMPORTRANGE(B137,""'export'!g1""))")," ")</f>
        <v> </v>
      </c>
    </row>
    <row r="138">
      <c r="A138" s="18"/>
      <c r="B138" s="35"/>
      <c r="C138" s="20" t="str">
        <f>IFERROR(__xludf.DUMMYFUNCTION("IF(B138="""","" "",IMPORTRANGE(B138,""'Export'!m1""))")," ")</f>
        <v> </v>
      </c>
      <c r="D138" s="21" t="str">
        <f t="shared" si="1"/>
        <v> ,  ,  </v>
      </c>
      <c r="E138" s="22" t="str">
        <f>IFERROR(__xludf.DUMMYFUNCTION("IF(B138="""","" "",IMPORTRANGE(B138,""'EXPORT'!L1""))")," ")</f>
        <v> </v>
      </c>
      <c r="F138" s="23" t="str">
        <f>IFERROR(__xludf.DUMMYFUNCTION("IF(B138="""","" "",IMPORTRANGE(B138,""'Export'!a1""))")," ")</f>
        <v> </v>
      </c>
      <c r="G138" s="23" t="str">
        <f>IFERROR(__xludf.DUMMYFUNCTION("IF(B138="""","" "",IMPORTRANGE(B138,""'export'!b1""))")," ")</f>
        <v> </v>
      </c>
      <c r="H138" s="23" t="str">
        <f>IFERROR(__xludf.DUMMYFUNCTION("IF(B138="""","" "",IMPORTRANGE(B138,""'export'!c1""))")," ")</f>
        <v> </v>
      </c>
      <c r="I138" s="24" t="str">
        <f>IFERROR(__xludf.DUMMYFUNCTION("IF(B138="""","" "",IMPORTRANGE(B138,""'export'!d1""))")," ")</f>
        <v> </v>
      </c>
      <c r="J138" s="25" t="str">
        <f>IFERROR(__xludf.DUMMYFUNCTION("IF(B138="""","" "",IMPORTRANGE(B138,""'export'!e1""))")," ")</f>
        <v> </v>
      </c>
      <c r="K138" s="25"/>
      <c r="L138" s="21" t="str">
        <f>IFERROR(__xludf.DUMMYFUNCTION("IF(B138="""","" "",IMPORTRANGE(B138,""'export'!f1""))")," ")</f>
        <v> </v>
      </c>
      <c r="M138" s="26" t="str">
        <f>IFERROR(__xludf.DUMMYFUNCTION("IF(B138="""","" "",IMPORTRANGE(B138,""'export'!h3""))")," ")</f>
        <v> </v>
      </c>
      <c r="N138" s="27" t="str">
        <f>IFERROR(__xludf.DUMMYFUNCTION("IF(B138="""","" "",IMPORTRANGE(B138,""'export'!h1""))")," ")</f>
        <v> </v>
      </c>
      <c r="O138" s="28" t="str">
        <f>IFERROR(__xludf.DUMMYFUNCTION("IF(B138="""","" "",IMPORTRANGE(B138,""'export'!h11""))")," ")</f>
        <v> </v>
      </c>
      <c r="P138" s="29" t="str">
        <f>IFERROR(__xludf.DUMMYFUNCTION("IF(B138="""","" "",IMPORTRANGE(B138,""'export'!i1""))")," ")</f>
        <v> </v>
      </c>
      <c r="Q138" s="30" t="str">
        <f>IFERROR(__xludf.DUMMYFUNCTION("IF(B138="""","" "",IMPORTRANGE(B138,""'export'!i13""))")," ")</f>
        <v> </v>
      </c>
      <c r="R138" s="31" t="str">
        <f t="shared" si="2"/>
        <v/>
      </c>
      <c r="S138" s="32" t="str">
        <f>IFERROR(__xludf.DUMMYFUNCTION("IF(B138="""","" "",IMPORTRANGE(B138,""'export'!g1""))")," ")</f>
        <v> </v>
      </c>
    </row>
    <row r="139">
      <c r="A139" s="18"/>
      <c r="B139" s="35"/>
      <c r="C139" s="20" t="str">
        <f>IFERROR(__xludf.DUMMYFUNCTION("IF(B139="""","" "",IMPORTRANGE(B139,""'Export'!m1""))")," ")</f>
        <v> </v>
      </c>
      <c r="D139" s="21" t="str">
        <f t="shared" si="1"/>
        <v> ,  ,  </v>
      </c>
      <c r="E139" s="22" t="str">
        <f>IFERROR(__xludf.DUMMYFUNCTION("IF(B139="""","" "",IMPORTRANGE(B139,""'EXPORT'!L1""))")," ")</f>
        <v> </v>
      </c>
      <c r="F139" s="23" t="str">
        <f>IFERROR(__xludf.DUMMYFUNCTION("IF(B139="""","" "",IMPORTRANGE(B139,""'Export'!a1""))")," ")</f>
        <v> </v>
      </c>
      <c r="G139" s="23" t="str">
        <f>IFERROR(__xludf.DUMMYFUNCTION("IF(B139="""","" "",IMPORTRANGE(B139,""'export'!b1""))")," ")</f>
        <v> </v>
      </c>
      <c r="H139" s="23" t="str">
        <f>IFERROR(__xludf.DUMMYFUNCTION("IF(B139="""","" "",IMPORTRANGE(B139,""'export'!c1""))")," ")</f>
        <v> </v>
      </c>
      <c r="I139" s="24" t="str">
        <f>IFERROR(__xludf.DUMMYFUNCTION("IF(B139="""","" "",IMPORTRANGE(B139,""'export'!d1""))")," ")</f>
        <v> </v>
      </c>
      <c r="J139" s="25" t="str">
        <f>IFERROR(__xludf.DUMMYFUNCTION("IF(B139="""","" "",IMPORTRANGE(B139,""'export'!e1""))")," ")</f>
        <v> </v>
      </c>
      <c r="K139" s="25"/>
      <c r="L139" s="21" t="str">
        <f>IFERROR(__xludf.DUMMYFUNCTION("IF(B139="""","" "",IMPORTRANGE(B139,""'export'!f1""))")," ")</f>
        <v> </v>
      </c>
      <c r="M139" s="26" t="str">
        <f>IFERROR(__xludf.DUMMYFUNCTION("IF(B139="""","" "",IMPORTRANGE(B139,""'export'!h3""))")," ")</f>
        <v> </v>
      </c>
      <c r="N139" s="27" t="str">
        <f>IFERROR(__xludf.DUMMYFUNCTION("IF(B139="""","" "",IMPORTRANGE(B139,""'export'!h1""))")," ")</f>
        <v> </v>
      </c>
      <c r="O139" s="28" t="str">
        <f>IFERROR(__xludf.DUMMYFUNCTION("IF(B139="""","" "",IMPORTRANGE(B139,""'export'!h11""))")," ")</f>
        <v> </v>
      </c>
      <c r="P139" s="29" t="str">
        <f>IFERROR(__xludf.DUMMYFUNCTION("IF(B139="""","" "",IMPORTRANGE(B139,""'export'!i1""))")," ")</f>
        <v> </v>
      </c>
      <c r="Q139" s="30" t="str">
        <f>IFERROR(__xludf.DUMMYFUNCTION("IF(B139="""","" "",IMPORTRANGE(B139,""'export'!i13""))")," ")</f>
        <v> </v>
      </c>
      <c r="R139" s="31" t="str">
        <f t="shared" si="2"/>
        <v/>
      </c>
      <c r="S139" s="32" t="str">
        <f>IFERROR(__xludf.DUMMYFUNCTION("IF(B139="""","" "",IMPORTRANGE(B139,""'export'!g1""))")," ")</f>
        <v> </v>
      </c>
    </row>
    <row r="140">
      <c r="A140" s="18"/>
      <c r="B140" s="35"/>
      <c r="C140" s="20" t="str">
        <f>IFERROR(__xludf.DUMMYFUNCTION("IF(B140="""","" "",IMPORTRANGE(B140,""'Export'!m1""))")," ")</f>
        <v> </v>
      </c>
      <c r="D140" s="21" t="str">
        <f t="shared" si="1"/>
        <v> ,  ,  </v>
      </c>
      <c r="E140" s="22" t="str">
        <f>IFERROR(__xludf.DUMMYFUNCTION("IF(B140="""","" "",IMPORTRANGE(B140,""'EXPORT'!L1""))")," ")</f>
        <v> </v>
      </c>
      <c r="F140" s="23" t="str">
        <f>IFERROR(__xludf.DUMMYFUNCTION("IF(B140="""","" "",IMPORTRANGE(B140,""'Export'!a1""))")," ")</f>
        <v> </v>
      </c>
      <c r="G140" s="23" t="str">
        <f>IFERROR(__xludf.DUMMYFUNCTION("IF(B140="""","" "",IMPORTRANGE(B140,""'export'!b1""))")," ")</f>
        <v> </v>
      </c>
      <c r="H140" s="23" t="str">
        <f>IFERROR(__xludf.DUMMYFUNCTION("IF(B140="""","" "",IMPORTRANGE(B140,""'export'!c1""))")," ")</f>
        <v> </v>
      </c>
      <c r="I140" s="24" t="str">
        <f>IFERROR(__xludf.DUMMYFUNCTION("IF(B140="""","" "",IMPORTRANGE(B140,""'export'!d1""))")," ")</f>
        <v> </v>
      </c>
      <c r="J140" s="25" t="str">
        <f>IFERROR(__xludf.DUMMYFUNCTION("IF(B140="""","" "",IMPORTRANGE(B140,""'export'!e1""))")," ")</f>
        <v> </v>
      </c>
      <c r="K140" s="25"/>
      <c r="L140" s="21" t="str">
        <f>IFERROR(__xludf.DUMMYFUNCTION("IF(B140="""","" "",IMPORTRANGE(B140,""'export'!f1""))")," ")</f>
        <v> </v>
      </c>
      <c r="M140" s="26" t="str">
        <f>IFERROR(__xludf.DUMMYFUNCTION("IF(B140="""","" "",IMPORTRANGE(B140,""'export'!h3""))")," ")</f>
        <v> </v>
      </c>
      <c r="N140" s="27" t="str">
        <f>IFERROR(__xludf.DUMMYFUNCTION("IF(B140="""","" "",IMPORTRANGE(B140,""'export'!h1""))")," ")</f>
        <v> </v>
      </c>
      <c r="O140" s="28" t="str">
        <f>IFERROR(__xludf.DUMMYFUNCTION("IF(B140="""","" "",IMPORTRANGE(B140,""'export'!h11""))")," ")</f>
        <v> </v>
      </c>
      <c r="P140" s="29" t="str">
        <f>IFERROR(__xludf.DUMMYFUNCTION("IF(B140="""","" "",IMPORTRANGE(B140,""'export'!i1""))")," ")</f>
        <v> </v>
      </c>
      <c r="Q140" s="30" t="str">
        <f>IFERROR(__xludf.DUMMYFUNCTION("IF(B140="""","" "",IMPORTRANGE(B140,""'export'!i13""))")," ")</f>
        <v> </v>
      </c>
      <c r="R140" s="31" t="str">
        <f t="shared" si="2"/>
        <v/>
      </c>
      <c r="S140" s="32" t="str">
        <f>IFERROR(__xludf.DUMMYFUNCTION("IF(B140="""","" "",IMPORTRANGE(B140,""'export'!g1""))")," ")</f>
        <v> </v>
      </c>
    </row>
    <row r="141">
      <c r="A141" s="18"/>
      <c r="B141" s="35"/>
      <c r="C141" s="20" t="str">
        <f>IFERROR(__xludf.DUMMYFUNCTION("IF(B141="""","" "",IMPORTRANGE(B141,""'Export'!m1""))")," ")</f>
        <v> </v>
      </c>
      <c r="D141" s="21" t="str">
        <f t="shared" si="1"/>
        <v> ,  ,  </v>
      </c>
      <c r="E141" s="22" t="str">
        <f>IFERROR(__xludf.DUMMYFUNCTION("IF(B141="""","" "",IMPORTRANGE(B141,""'EXPORT'!L1""))")," ")</f>
        <v> </v>
      </c>
      <c r="F141" s="23" t="str">
        <f>IFERROR(__xludf.DUMMYFUNCTION("IF(B141="""","" "",IMPORTRANGE(B141,""'Export'!a1""))")," ")</f>
        <v> </v>
      </c>
      <c r="G141" s="23" t="str">
        <f>IFERROR(__xludf.DUMMYFUNCTION("IF(B141="""","" "",IMPORTRANGE(B141,""'export'!b1""))")," ")</f>
        <v> </v>
      </c>
      <c r="H141" s="23" t="str">
        <f>IFERROR(__xludf.DUMMYFUNCTION("IF(B141="""","" "",IMPORTRANGE(B141,""'export'!c1""))")," ")</f>
        <v> </v>
      </c>
      <c r="I141" s="24" t="str">
        <f>IFERROR(__xludf.DUMMYFUNCTION("IF(B141="""","" "",IMPORTRANGE(B141,""'export'!d1""))")," ")</f>
        <v> </v>
      </c>
      <c r="J141" s="25" t="str">
        <f>IFERROR(__xludf.DUMMYFUNCTION("IF(B141="""","" "",IMPORTRANGE(B141,""'export'!e1""))")," ")</f>
        <v> </v>
      </c>
      <c r="K141" s="25"/>
      <c r="L141" s="21" t="str">
        <f>IFERROR(__xludf.DUMMYFUNCTION("IF(B141="""","" "",IMPORTRANGE(B141,""'export'!f1""))")," ")</f>
        <v> </v>
      </c>
      <c r="M141" s="26" t="str">
        <f>IFERROR(__xludf.DUMMYFUNCTION("IF(B141="""","" "",IMPORTRANGE(B141,""'export'!h3""))")," ")</f>
        <v> </v>
      </c>
      <c r="N141" s="27" t="str">
        <f>IFERROR(__xludf.DUMMYFUNCTION("IF(B141="""","" "",IMPORTRANGE(B141,""'export'!h1""))")," ")</f>
        <v> </v>
      </c>
      <c r="O141" s="28" t="str">
        <f>IFERROR(__xludf.DUMMYFUNCTION("IF(B141="""","" "",IMPORTRANGE(B141,""'export'!h11""))")," ")</f>
        <v> </v>
      </c>
      <c r="P141" s="29" t="str">
        <f>IFERROR(__xludf.DUMMYFUNCTION("IF(B141="""","" "",IMPORTRANGE(B141,""'export'!i1""))")," ")</f>
        <v> </v>
      </c>
      <c r="Q141" s="30" t="str">
        <f>IFERROR(__xludf.DUMMYFUNCTION("IF(B141="""","" "",IMPORTRANGE(B141,""'export'!i13""))")," ")</f>
        <v> </v>
      </c>
      <c r="R141" s="31" t="str">
        <f t="shared" si="2"/>
        <v/>
      </c>
      <c r="S141" s="32" t="str">
        <f>IFERROR(__xludf.DUMMYFUNCTION("IF(B141="""","" "",IMPORTRANGE(B141,""'export'!g1""))")," ")</f>
        <v> </v>
      </c>
    </row>
    <row r="142">
      <c r="A142" s="18"/>
      <c r="B142" s="35"/>
      <c r="C142" s="20" t="str">
        <f>IFERROR(__xludf.DUMMYFUNCTION("IF(B142="""","" "",IMPORTRANGE(B142,""'Export'!m1""))")," ")</f>
        <v> </v>
      </c>
      <c r="D142" s="21" t="str">
        <f t="shared" si="1"/>
        <v> ,  ,  </v>
      </c>
      <c r="E142" s="22" t="str">
        <f>IFERROR(__xludf.DUMMYFUNCTION("IF(B142="""","" "",IMPORTRANGE(B142,""'EXPORT'!L1""))")," ")</f>
        <v> </v>
      </c>
      <c r="F142" s="23" t="str">
        <f>IFERROR(__xludf.DUMMYFUNCTION("IF(B142="""","" "",IMPORTRANGE(B142,""'Export'!a1""))")," ")</f>
        <v> </v>
      </c>
      <c r="G142" s="23" t="str">
        <f>IFERROR(__xludf.DUMMYFUNCTION("IF(B142="""","" "",IMPORTRANGE(B142,""'export'!b1""))")," ")</f>
        <v> </v>
      </c>
      <c r="H142" s="23" t="str">
        <f>IFERROR(__xludf.DUMMYFUNCTION("IF(B142="""","" "",IMPORTRANGE(B142,""'export'!c1""))")," ")</f>
        <v> </v>
      </c>
      <c r="I142" s="24" t="str">
        <f>IFERROR(__xludf.DUMMYFUNCTION("IF(B142="""","" "",IMPORTRANGE(B142,""'export'!d1""))")," ")</f>
        <v> </v>
      </c>
      <c r="J142" s="25" t="str">
        <f>IFERROR(__xludf.DUMMYFUNCTION("IF(B142="""","" "",IMPORTRANGE(B142,""'export'!e1""))")," ")</f>
        <v> </v>
      </c>
      <c r="K142" s="25"/>
      <c r="L142" s="21" t="str">
        <f>IFERROR(__xludf.DUMMYFUNCTION("IF(B142="""","" "",IMPORTRANGE(B142,""'export'!f1""))")," ")</f>
        <v> </v>
      </c>
      <c r="M142" s="26" t="str">
        <f>IFERROR(__xludf.DUMMYFUNCTION("IF(B142="""","" "",IMPORTRANGE(B142,""'export'!h3""))")," ")</f>
        <v> </v>
      </c>
      <c r="N142" s="27" t="str">
        <f>IFERROR(__xludf.DUMMYFUNCTION("IF(B142="""","" "",IMPORTRANGE(B142,""'export'!h1""))")," ")</f>
        <v> </v>
      </c>
      <c r="O142" s="28" t="str">
        <f>IFERROR(__xludf.DUMMYFUNCTION("IF(B142="""","" "",IMPORTRANGE(B142,""'export'!h11""))")," ")</f>
        <v> </v>
      </c>
      <c r="P142" s="29" t="str">
        <f>IFERROR(__xludf.DUMMYFUNCTION("IF(B142="""","" "",IMPORTRANGE(B142,""'export'!i1""))")," ")</f>
        <v> </v>
      </c>
      <c r="Q142" s="30" t="str">
        <f>IFERROR(__xludf.DUMMYFUNCTION("IF(B142="""","" "",IMPORTRANGE(B142,""'export'!i13""))")," ")</f>
        <v> </v>
      </c>
      <c r="R142" s="31" t="str">
        <f t="shared" si="2"/>
        <v/>
      </c>
      <c r="S142" s="32" t="str">
        <f>IFERROR(__xludf.DUMMYFUNCTION("IF(B142="""","" "",IMPORTRANGE(B142,""'export'!g1""))")," ")</f>
        <v> </v>
      </c>
    </row>
    <row r="143">
      <c r="A143" s="18"/>
      <c r="B143" s="35"/>
      <c r="C143" s="20" t="str">
        <f>IFERROR(__xludf.DUMMYFUNCTION("IF(B143="""","" "",IMPORTRANGE(B143,""'Export'!m1""))")," ")</f>
        <v> </v>
      </c>
      <c r="D143" s="21" t="str">
        <f t="shared" si="1"/>
        <v> ,  ,  </v>
      </c>
      <c r="E143" s="22" t="str">
        <f>IFERROR(__xludf.DUMMYFUNCTION("IF(B143="""","" "",IMPORTRANGE(B143,""'EXPORT'!L1""))")," ")</f>
        <v> </v>
      </c>
      <c r="F143" s="23" t="str">
        <f>IFERROR(__xludf.DUMMYFUNCTION("IF(B143="""","" "",IMPORTRANGE(B143,""'Export'!a1""))")," ")</f>
        <v> </v>
      </c>
      <c r="G143" s="23" t="str">
        <f>IFERROR(__xludf.DUMMYFUNCTION("IF(B143="""","" "",IMPORTRANGE(B143,""'export'!b1""))")," ")</f>
        <v> </v>
      </c>
      <c r="H143" s="23" t="str">
        <f>IFERROR(__xludf.DUMMYFUNCTION("IF(B143="""","" "",IMPORTRANGE(B143,""'export'!c1""))")," ")</f>
        <v> </v>
      </c>
      <c r="I143" s="24" t="str">
        <f>IFERROR(__xludf.DUMMYFUNCTION("IF(B143="""","" "",IMPORTRANGE(B143,""'export'!d1""))")," ")</f>
        <v> </v>
      </c>
      <c r="J143" s="25" t="str">
        <f>IFERROR(__xludf.DUMMYFUNCTION("IF(B143="""","" "",IMPORTRANGE(B143,""'export'!e1""))")," ")</f>
        <v> </v>
      </c>
      <c r="K143" s="25"/>
      <c r="L143" s="21" t="str">
        <f>IFERROR(__xludf.DUMMYFUNCTION("IF(B143="""","" "",IMPORTRANGE(B143,""'export'!f1""))")," ")</f>
        <v> </v>
      </c>
      <c r="M143" s="26" t="str">
        <f>IFERROR(__xludf.DUMMYFUNCTION("IF(B143="""","" "",IMPORTRANGE(B143,""'export'!h3""))")," ")</f>
        <v> </v>
      </c>
      <c r="N143" s="27" t="str">
        <f>IFERROR(__xludf.DUMMYFUNCTION("IF(B143="""","" "",IMPORTRANGE(B143,""'export'!h1""))")," ")</f>
        <v> </v>
      </c>
      <c r="O143" s="28" t="str">
        <f>IFERROR(__xludf.DUMMYFUNCTION("IF(B143="""","" "",IMPORTRANGE(B143,""'export'!h11""))")," ")</f>
        <v> </v>
      </c>
      <c r="P143" s="29" t="str">
        <f>IFERROR(__xludf.DUMMYFUNCTION("IF(B143="""","" "",IMPORTRANGE(B143,""'export'!i1""))")," ")</f>
        <v> </v>
      </c>
      <c r="Q143" s="30" t="str">
        <f>IFERROR(__xludf.DUMMYFUNCTION("IF(B143="""","" "",IMPORTRANGE(B143,""'export'!i13""))")," ")</f>
        <v> </v>
      </c>
      <c r="R143" s="31" t="str">
        <f t="shared" si="2"/>
        <v/>
      </c>
      <c r="S143" s="32" t="str">
        <f>IFERROR(__xludf.DUMMYFUNCTION("IF(B143="""","" "",IMPORTRANGE(B143,""'export'!g1""))")," ")</f>
        <v> </v>
      </c>
    </row>
    <row r="144">
      <c r="A144" s="18"/>
      <c r="B144" s="35"/>
      <c r="C144" s="20" t="str">
        <f>IFERROR(__xludf.DUMMYFUNCTION("IF(B144="""","" "",IMPORTRANGE(B144,""'Export'!m1""))")," ")</f>
        <v> </v>
      </c>
      <c r="D144" s="21" t="str">
        <f t="shared" si="1"/>
        <v> ,  ,  </v>
      </c>
      <c r="E144" s="22" t="str">
        <f>IFERROR(__xludf.DUMMYFUNCTION("IF(B144="""","" "",IMPORTRANGE(B144,""'EXPORT'!L1""))")," ")</f>
        <v> </v>
      </c>
      <c r="F144" s="23" t="str">
        <f>IFERROR(__xludf.DUMMYFUNCTION("IF(B144="""","" "",IMPORTRANGE(B144,""'Export'!a1""))")," ")</f>
        <v> </v>
      </c>
      <c r="G144" s="23" t="str">
        <f>IFERROR(__xludf.DUMMYFUNCTION("IF(B144="""","" "",IMPORTRANGE(B144,""'export'!b1""))")," ")</f>
        <v> </v>
      </c>
      <c r="H144" s="23" t="str">
        <f>IFERROR(__xludf.DUMMYFUNCTION("IF(B144="""","" "",IMPORTRANGE(B144,""'export'!c1""))")," ")</f>
        <v> </v>
      </c>
      <c r="I144" s="24" t="str">
        <f>IFERROR(__xludf.DUMMYFUNCTION("IF(B144="""","" "",IMPORTRANGE(B144,""'export'!d1""))")," ")</f>
        <v> </v>
      </c>
      <c r="J144" s="25" t="str">
        <f>IFERROR(__xludf.DUMMYFUNCTION("IF(B144="""","" "",IMPORTRANGE(B144,""'export'!e1""))")," ")</f>
        <v> </v>
      </c>
      <c r="K144" s="25"/>
      <c r="L144" s="21" t="str">
        <f>IFERROR(__xludf.DUMMYFUNCTION("IF(B144="""","" "",IMPORTRANGE(B144,""'export'!f1""))")," ")</f>
        <v> </v>
      </c>
      <c r="M144" s="26" t="str">
        <f>IFERROR(__xludf.DUMMYFUNCTION("IF(B144="""","" "",IMPORTRANGE(B144,""'export'!h3""))")," ")</f>
        <v> </v>
      </c>
      <c r="N144" s="27" t="str">
        <f>IFERROR(__xludf.DUMMYFUNCTION("IF(B144="""","" "",IMPORTRANGE(B144,""'export'!h1""))")," ")</f>
        <v> </v>
      </c>
      <c r="O144" s="28" t="str">
        <f>IFERROR(__xludf.DUMMYFUNCTION("IF(B144="""","" "",IMPORTRANGE(B144,""'export'!h11""))")," ")</f>
        <v> </v>
      </c>
      <c r="P144" s="29" t="str">
        <f>IFERROR(__xludf.DUMMYFUNCTION("IF(B144="""","" "",IMPORTRANGE(B144,""'export'!i1""))")," ")</f>
        <v> </v>
      </c>
      <c r="Q144" s="30" t="str">
        <f>IFERROR(__xludf.DUMMYFUNCTION("IF(B144="""","" "",IMPORTRANGE(B144,""'export'!i13""))")," ")</f>
        <v> </v>
      </c>
      <c r="R144" s="31" t="str">
        <f t="shared" si="2"/>
        <v/>
      </c>
      <c r="S144" s="32" t="str">
        <f>IFERROR(__xludf.DUMMYFUNCTION("IF(B144="""","" "",IMPORTRANGE(B144,""'export'!g1""))")," ")</f>
        <v> </v>
      </c>
    </row>
    <row r="145">
      <c r="A145" s="18"/>
      <c r="B145" s="35"/>
      <c r="C145" s="20" t="str">
        <f>IFERROR(__xludf.DUMMYFUNCTION("IF(B145="""","" "",IMPORTRANGE(B145,""'Export'!m1""))")," ")</f>
        <v> </v>
      </c>
      <c r="D145" s="21" t="str">
        <f t="shared" si="1"/>
        <v> ,  ,  </v>
      </c>
      <c r="E145" s="22" t="str">
        <f>IFERROR(__xludf.DUMMYFUNCTION("IF(B145="""","" "",IMPORTRANGE(B145,""'EXPORT'!L1""))")," ")</f>
        <v> </v>
      </c>
      <c r="F145" s="23" t="str">
        <f>IFERROR(__xludf.DUMMYFUNCTION("IF(B145="""","" "",IMPORTRANGE(B145,""'Export'!a1""))")," ")</f>
        <v> </v>
      </c>
      <c r="G145" s="23" t="str">
        <f>IFERROR(__xludf.DUMMYFUNCTION("IF(B145="""","" "",IMPORTRANGE(B145,""'export'!b1""))")," ")</f>
        <v> </v>
      </c>
      <c r="H145" s="23" t="str">
        <f>IFERROR(__xludf.DUMMYFUNCTION("IF(B145="""","" "",IMPORTRANGE(B145,""'export'!c1""))")," ")</f>
        <v> </v>
      </c>
      <c r="I145" s="24" t="str">
        <f>IFERROR(__xludf.DUMMYFUNCTION("IF(B145="""","" "",IMPORTRANGE(B145,""'export'!d1""))")," ")</f>
        <v> </v>
      </c>
      <c r="J145" s="25" t="str">
        <f>IFERROR(__xludf.DUMMYFUNCTION("IF(B145="""","" "",IMPORTRANGE(B145,""'export'!e1""))")," ")</f>
        <v> </v>
      </c>
      <c r="K145" s="25"/>
      <c r="L145" s="21" t="str">
        <f>IFERROR(__xludf.DUMMYFUNCTION("IF(B145="""","" "",IMPORTRANGE(B145,""'export'!f1""))")," ")</f>
        <v> </v>
      </c>
      <c r="M145" s="26" t="str">
        <f>IFERROR(__xludf.DUMMYFUNCTION("IF(B145="""","" "",IMPORTRANGE(B145,""'export'!h3""))")," ")</f>
        <v> </v>
      </c>
      <c r="N145" s="27" t="str">
        <f>IFERROR(__xludf.DUMMYFUNCTION("IF(B145="""","" "",IMPORTRANGE(B145,""'export'!h1""))")," ")</f>
        <v> </v>
      </c>
      <c r="O145" s="28" t="str">
        <f>IFERROR(__xludf.DUMMYFUNCTION("IF(B145="""","" "",IMPORTRANGE(B145,""'export'!h11""))")," ")</f>
        <v> </v>
      </c>
      <c r="P145" s="29" t="str">
        <f>IFERROR(__xludf.DUMMYFUNCTION("IF(B145="""","" "",IMPORTRANGE(B145,""'export'!i1""))")," ")</f>
        <v> </v>
      </c>
      <c r="Q145" s="30" t="str">
        <f>IFERROR(__xludf.DUMMYFUNCTION("IF(B145="""","" "",IMPORTRANGE(B145,""'export'!i13""))")," ")</f>
        <v> </v>
      </c>
      <c r="R145" s="31" t="str">
        <f t="shared" si="2"/>
        <v/>
      </c>
      <c r="S145" s="32" t="str">
        <f>IFERROR(__xludf.DUMMYFUNCTION("IF(B145="""","" "",IMPORTRANGE(B145,""'export'!g1""))")," ")</f>
        <v> </v>
      </c>
    </row>
    <row r="146">
      <c r="A146" s="18"/>
      <c r="B146" s="35"/>
      <c r="C146" s="20" t="str">
        <f>IFERROR(__xludf.DUMMYFUNCTION("IF(B146="""","" "",IMPORTRANGE(B146,""'Export'!m1""))")," ")</f>
        <v> </v>
      </c>
      <c r="D146" s="21" t="str">
        <f t="shared" si="1"/>
        <v> ,  ,  </v>
      </c>
      <c r="E146" s="22" t="str">
        <f>IFERROR(__xludf.DUMMYFUNCTION("IF(B146="""","" "",IMPORTRANGE(B146,""'EXPORT'!L1""))")," ")</f>
        <v> </v>
      </c>
      <c r="F146" s="23" t="str">
        <f>IFERROR(__xludf.DUMMYFUNCTION("IF(B146="""","" "",IMPORTRANGE(B146,""'Export'!a1""))")," ")</f>
        <v> </v>
      </c>
      <c r="G146" s="23" t="str">
        <f>IFERROR(__xludf.DUMMYFUNCTION("IF(B146="""","" "",IMPORTRANGE(B146,""'export'!b1""))")," ")</f>
        <v> </v>
      </c>
      <c r="H146" s="23" t="str">
        <f>IFERROR(__xludf.DUMMYFUNCTION("IF(B146="""","" "",IMPORTRANGE(B146,""'export'!c1""))")," ")</f>
        <v> </v>
      </c>
      <c r="I146" s="24" t="str">
        <f>IFERROR(__xludf.DUMMYFUNCTION("IF(B146="""","" "",IMPORTRANGE(B146,""'export'!d1""))")," ")</f>
        <v> </v>
      </c>
      <c r="J146" s="25" t="str">
        <f>IFERROR(__xludf.DUMMYFUNCTION("IF(B146="""","" "",IMPORTRANGE(B146,""'export'!e1""))")," ")</f>
        <v> </v>
      </c>
      <c r="K146" s="25"/>
      <c r="L146" s="21" t="str">
        <f>IFERROR(__xludf.DUMMYFUNCTION("IF(B146="""","" "",IMPORTRANGE(B146,""'export'!f1""))")," ")</f>
        <v> </v>
      </c>
      <c r="M146" s="26" t="str">
        <f>IFERROR(__xludf.DUMMYFUNCTION("IF(B146="""","" "",IMPORTRANGE(B146,""'export'!h3""))")," ")</f>
        <v> </v>
      </c>
      <c r="N146" s="27" t="str">
        <f>IFERROR(__xludf.DUMMYFUNCTION("IF(B146="""","" "",IMPORTRANGE(B146,""'export'!h1""))")," ")</f>
        <v> </v>
      </c>
      <c r="O146" s="28" t="str">
        <f>IFERROR(__xludf.DUMMYFUNCTION("IF(B146="""","" "",IMPORTRANGE(B146,""'export'!h11""))")," ")</f>
        <v> </v>
      </c>
      <c r="P146" s="29" t="str">
        <f>IFERROR(__xludf.DUMMYFUNCTION("IF(B146="""","" "",IMPORTRANGE(B146,""'export'!i1""))")," ")</f>
        <v> </v>
      </c>
      <c r="Q146" s="30" t="str">
        <f>IFERROR(__xludf.DUMMYFUNCTION("IF(B146="""","" "",IMPORTRANGE(B146,""'export'!i13""))")," ")</f>
        <v> </v>
      </c>
      <c r="R146" s="31" t="str">
        <f t="shared" si="2"/>
        <v/>
      </c>
      <c r="S146" s="32" t="str">
        <f>IFERROR(__xludf.DUMMYFUNCTION("IF(B146="""","" "",IMPORTRANGE(B146,""'export'!g1""))")," ")</f>
        <v> </v>
      </c>
    </row>
    <row r="147">
      <c r="A147" s="18"/>
      <c r="B147" s="35"/>
      <c r="C147" s="20" t="str">
        <f>IFERROR(__xludf.DUMMYFUNCTION("IF(B147="""","" "",IMPORTRANGE(B147,""'Export'!m1""))")," ")</f>
        <v> </v>
      </c>
      <c r="D147" s="21" t="str">
        <f t="shared" si="1"/>
        <v> ,  ,  </v>
      </c>
      <c r="E147" s="22" t="str">
        <f>IFERROR(__xludf.DUMMYFUNCTION("IF(B147="""","" "",IMPORTRANGE(B147,""'EXPORT'!L1""))")," ")</f>
        <v> </v>
      </c>
      <c r="F147" s="23" t="str">
        <f>IFERROR(__xludf.DUMMYFUNCTION("IF(B147="""","" "",IMPORTRANGE(B147,""'Export'!a1""))")," ")</f>
        <v> </v>
      </c>
      <c r="G147" s="23" t="str">
        <f>IFERROR(__xludf.DUMMYFUNCTION("IF(B147="""","" "",IMPORTRANGE(B147,""'export'!b1""))")," ")</f>
        <v> </v>
      </c>
      <c r="H147" s="23" t="str">
        <f>IFERROR(__xludf.DUMMYFUNCTION("IF(B147="""","" "",IMPORTRANGE(B147,""'export'!c1""))")," ")</f>
        <v> </v>
      </c>
      <c r="I147" s="24" t="str">
        <f>IFERROR(__xludf.DUMMYFUNCTION("IF(B147="""","" "",IMPORTRANGE(B147,""'export'!d1""))")," ")</f>
        <v> </v>
      </c>
      <c r="J147" s="25" t="str">
        <f>IFERROR(__xludf.DUMMYFUNCTION("IF(B147="""","" "",IMPORTRANGE(B147,""'export'!e1""))")," ")</f>
        <v> </v>
      </c>
      <c r="K147" s="25"/>
      <c r="L147" s="21" t="str">
        <f>IFERROR(__xludf.DUMMYFUNCTION("IF(B147="""","" "",IMPORTRANGE(B147,""'export'!f1""))")," ")</f>
        <v> </v>
      </c>
      <c r="M147" s="26" t="str">
        <f>IFERROR(__xludf.DUMMYFUNCTION("IF(B147="""","" "",IMPORTRANGE(B147,""'export'!h3""))")," ")</f>
        <v> </v>
      </c>
      <c r="N147" s="27" t="str">
        <f>IFERROR(__xludf.DUMMYFUNCTION("IF(B147="""","" "",IMPORTRANGE(B147,""'export'!h1""))")," ")</f>
        <v> </v>
      </c>
      <c r="O147" s="28" t="str">
        <f>IFERROR(__xludf.DUMMYFUNCTION("IF(B147="""","" "",IMPORTRANGE(B147,""'export'!h11""))")," ")</f>
        <v> </v>
      </c>
      <c r="P147" s="29" t="str">
        <f>IFERROR(__xludf.DUMMYFUNCTION("IF(B147="""","" "",IMPORTRANGE(B147,""'export'!i1""))")," ")</f>
        <v> </v>
      </c>
      <c r="Q147" s="30" t="str">
        <f>IFERROR(__xludf.DUMMYFUNCTION("IF(B147="""","" "",IMPORTRANGE(B147,""'export'!i13""))")," ")</f>
        <v> </v>
      </c>
      <c r="R147" s="31" t="str">
        <f t="shared" si="2"/>
        <v/>
      </c>
      <c r="S147" s="32" t="str">
        <f>IFERROR(__xludf.DUMMYFUNCTION("IF(B147="""","" "",IMPORTRANGE(B147,""'export'!g1""))")," ")</f>
        <v> </v>
      </c>
    </row>
    <row r="148">
      <c r="A148" s="18"/>
      <c r="B148" s="35"/>
      <c r="C148" s="20" t="str">
        <f>IFERROR(__xludf.DUMMYFUNCTION("IF(B148="""","" "",IMPORTRANGE(B148,""'Export'!m1""))")," ")</f>
        <v> </v>
      </c>
      <c r="D148" s="21" t="str">
        <f t="shared" si="1"/>
        <v> ,  ,  </v>
      </c>
      <c r="E148" s="22" t="str">
        <f>IFERROR(__xludf.DUMMYFUNCTION("IF(B148="""","" "",IMPORTRANGE(B148,""'EXPORT'!L1""))")," ")</f>
        <v> </v>
      </c>
      <c r="F148" s="23" t="str">
        <f>IFERROR(__xludf.DUMMYFUNCTION("IF(B148="""","" "",IMPORTRANGE(B148,""'Export'!a1""))")," ")</f>
        <v> </v>
      </c>
      <c r="G148" s="23" t="str">
        <f>IFERROR(__xludf.DUMMYFUNCTION("IF(B148="""","" "",IMPORTRANGE(B148,""'export'!b1""))")," ")</f>
        <v> </v>
      </c>
      <c r="H148" s="23" t="str">
        <f>IFERROR(__xludf.DUMMYFUNCTION("IF(B148="""","" "",IMPORTRANGE(B148,""'export'!c1""))")," ")</f>
        <v> </v>
      </c>
      <c r="I148" s="24" t="str">
        <f>IFERROR(__xludf.DUMMYFUNCTION("IF(B148="""","" "",IMPORTRANGE(B148,""'export'!d1""))")," ")</f>
        <v> </v>
      </c>
      <c r="J148" s="25" t="str">
        <f>IFERROR(__xludf.DUMMYFUNCTION("IF(B148="""","" "",IMPORTRANGE(B148,""'export'!e1""))")," ")</f>
        <v> </v>
      </c>
      <c r="K148" s="25"/>
      <c r="L148" s="21" t="str">
        <f>IFERROR(__xludf.DUMMYFUNCTION("IF(B148="""","" "",IMPORTRANGE(B148,""'export'!f1""))")," ")</f>
        <v> </v>
      </c>
      <c r="M148" s="26" t="str">
        <f>IFERROR(__xludf.DUMMYFUNCTION("IF(B148="""","" "",IMPORTRANGE(B148,""'export'!h3""))")," ")</f>
        <v> </v>
      </c>
      <c r="N148" s="27" t="str">
        <f>IFERROR(__xludf.DUMMYFUNCTION("IF(B148="""","" "",IMPORTRANGE(B148,""'export'!h1""))")," ")</f>
        <v> </v>
      </c>
      <c r="O148" s="28" t="str">
        <f>IFERROR(__xludf.DUMMYFUNCTION("IF(B148="""","" "",IMPORTRANGE(B148,""'export'!h11""))")," ")</f>
        <v> </v>
      </c>
      <c r="P148" s="29" t="str">
        <f>IFERROR(__xludf.DUMMYFUNCTION("IF(B148="""","" "",IMPORTRANGE(B148,""'export'!i1""))")," ")</f>
        <v> </v>
      </c>
      <c r="Q148" s="30" t="str">
        <f>IFERROR(__xludf.DUMMYFUNCTION("IF(B148="""","" "",IMPORTRANGE(B148,""'export'!i13""))")," ")</f>
        <v> </v>
      </c>
      <c r="R148" s="31" t="str">
        <f t="shared" si="2"/>
        <v/>
      </c>
      <c r="S148" s="32" t="str">
        <f>IFERROR(__xludf.DUMMYFUNCTION("IF(B148="""","" "",IMPORTRANGE(B148,""'export'!g1""))")," ")</f>
        <v> </v>
      </c>
    </row>
    <row r="149">
      <c r="A149" s="18"/>
      <c r="B149" s="35"/>
      <c r="C149" s="20" t="str">
        <f>IFERROR(__xludf.DUMMYFUNCTION("IF(B149="""","" "",IMPORTRANGE(B149,""'Export'!m1""))")," ")</f>
        <v> </v>
      </c>
      <c r="D149" s="21" t="str">
        <f t="shared" si="1"/>
        <v> ,  ,  </v>
      </c>
      <c r="E149" s="22" t="str">
        <f>IFERROR(__xludf.DUMMYFUNCTION("IF(B149="""","" "",IMPORTRANGE(B149,""'EXPORT'!L1""))")," ")</f>
        <v> </v>
      </c>
      <c r="F149" s="23" t="str">
        <f>IFERROR(__xludf.DUMMYFUNCTION("IF(B149="""","" "",IMPORTRANGE(B149,""'Export'!a1""))")," ")</f>
        <v> </v>
      </c>
      <c r="G149" s="23" t="str">
        <f>IFERROR(__xludf.DUMMYFUNCTION("IF(B149="""","" "",IMPORTRANGE(B149,""'export'!b1""))")," ")</f>
        <v> </v>
      </c>
      <c r="H149" s="23" t="str">
        <f>IFERROR(__xludf.DUMMYFUNCTION("IF(B149="""","" "",IMPORTRANGE(B149,""'export'!c1""))")," ")</f>
        <v> </v>
      </c>
      <c r="I149" s="24" t="str">
        <f>IFERROR(__xludf.DUMMYFUNCTION("IF(B149="""","" "",IMPORTRANGE(B149,""'export'!d1""))")," ")</f>
        <v> </v>
      </c>
      <c r="J149" s="25" t="str">
        <f>IFERROR(__xludf.DUMMYFUNCTION("IF(B149="""","" "",IMPORTRANGE(B149,""'export'!e1""))")," ")</f>
        <v> </v>
      </c>
      <c r="K149" s="25"/>
      <c r="L149" s="21" t="str">
        <f>IFERROR(__xludf.DUMMYFUNCTION("IF(B149="""","" "",IMPORTRANGE(B149,""'export'!f1""))")," ")</f>
        <v> </v>
      </c>
      <c r="M149" s="26" t="str">
        <f>IFERROR(__xludf.DUMMYFUNCTION("IF(B149="""","" "",IMPORTRANGE(B149,""'export'!h3""))")," ")</f>
        <v> </v>
      </c>
      <c r="N149" s="27" t="str">
        <f>IFERROR(__xludf.DUMMYFUNCTION("IF(B149="""","" "",IMPORTRANGE(B149,""'export'!h1""))")," ")</f>
        <v> </v>
      </c>
      <c r="O149" s="28" t="str">
        <f>IFERROR(__xludf.DUMMYFUNCTION("IF(B149="""","" "",IMPORTRANGE(B149,""'export'!h11""))")," ")</f>
        <v> </v>
      </c>
      <c r="P149" s="29" t="str">
        <f>IFERROR(__xludf.DUMMYFUNCTION("IF(B149="""","" "",IMPORTRANGE(B149,""'export'!i1""))")," ")</f>
        <v> </v>
      </c>
      <c r="Q149" s="30" t="str">
        <f>IFERROR(__xludf.DUMMYFUNCTION("IF(B149="""","" "",IMPORTRANGE(B149,""'export'!i13""))")," ")</f>
        <v> </v>
      </c>
      <c r="R149" s="31" t="str">
        <f t="shared" si="2"/>
        <v/>
      </c>
      <c r="S149" s="32" t="str">
        <f>IFERROR(__xludf.DUMMYFUNCTION("IF(B149="""","" "",IMPORTRANGE(B149,""'export'!g1""))")," ")</f>
        <v> </v>
      </c>
    </row>
    <row r="150">
      <c r="A150" s="18"/>
      <c r="B150" s="35"/>
      <c r="C150" s="20" t="str">
        <f>IFERROR(__xludf.DUMMYFUNCTION("IF(B150="""","" "",IMPORTRANGE(B150,""'Export'!m1""))")," ")</f>
        <v> </v>
      </c>
      <c r="D150" s="21" t="str">
        <f t="shared" si="1"/>
        <v> ,  ,  </v>
      </c>
      <c r="E150" s="22" t="str">
        <f>IFERROR(__xludf.DUMMYFUNCTION("IF(B150="""","" "",IMPORTRANGE(B150,""'EXPORT'!L1""))")," ")</f>
        <v> </v>
      </c>
      <c r="F150" s="23" t="str">
        <f>IFERROR(__xludf.DUMMYFUNCTION("IF(B150="""","" "",IMPORTRANGE(B150,""'Export'!a1""))")," ")</f>
        <v> </v>
      </c>
      <c r="G150" s="23" t="str">
        <f>IFERROR(__xludf.DUMMYFUNCTION("IF(B150="""","" "",IMPORTRANGE(B150,""'export'!b1""))")," ")</f>
        <v> </v>
      </c>
      <c r="H150" s="23" t="str">
        <f>IFERROR(__xludf.DUMMYFUNCTION("IF(B150="""","" "",IMPORTRANGE(B150,""'export'!c1""))")," ")</f>
        <v> </v>
      </c>
      <c r="I150" s="24" t="str">
        <f>IFERROR(__xludf.DUMMYFUNCTION("IF(B150="""","" "",IMPORTRANGE(B150,""'export'!d1""))")," ")</f>
        <v> </v>
      </c>
      <c r="J150" s="25" t="str">
        <f>IFERROR(__xludf.DUMMYFUNCTION("IF(B150="""","" "",IMPORTRANGE(B150,""'export'!e1""))")," ")</f>
        <v> </v>
      </c>
      <c r="K150" s="25"/>
      <c r="L150" s="21" t="str">
        <f>IFERROR(__xludf.DUMMYFUNCTION("IF(B150="""","" "",IMPORTRANGE(B150,""'export'!f1""))")," ")</f>
        <v> </v>
      </c>
      <c r="M150" s="26" t="str">
        <f>IFERROR(__xludf.DUMMYFUNCTION("IF(B150="""","" "",IMPORTRANGE(B150,""'export'!h3""))")," ")</f>
        <v> </v>
      </c>
      <c r="N150" s="27" t="str">
        <f>IFERROR(__xludf.DUMMYFUNCTION("IF(B150="""","" "",IMPORTRANGE(B150,""'export'!h1""))")," ")</f>
        <v> </v>
      </c>
      <c r="O150" s="28" t="str">
        <f>IFERROR(__xludf.DUMMYFUNCTION("IF(B150="""","" "",IMPORTRANGE(B150,""'export'!h11""))")," ")</f>
        <v> </v>
      </c>
      <c r="P150" s="29" t="str">
        <f>IFERROR(__xludf.DUMMYFUNCTION("IF(B150="""","" "",IMPORTRANGE(B150,""'export'!i1""))")," ")</f>
        <v> </v>
      </c>
      <c r="Q150" s="30" t="str">
        <f>IFERROR(__xludf.DUMMYFUNCTION("IF(B150="""","" "",IMPORTRANGE(B150,""'export'!i13""))")," ")</f>
        <v> </v>
      </c>
      <c r="R150" s="31" t="str">
        <f t="shared" si="2"/>
        <v/>
      </c>
      <c r="S150" s="32" t="str">
        <f>IFERROR(__xludf.DUMMYFUNCTION("IF(B150="""","" "",IMPORTRANGE(B150,""'export'!g1""))")," ")</f>
        <v> </v>
      </c>
    </row>
    <row r="151">
      <c r="A151" s="18"/>
      <c r="B151" s="35"/>
      <c r="C151" s="20" t="str">
        <f>IFERROR(__xludf.DUMMYFUNCTION("IF(B151="""","" "",IMPORTRANGE(B151,""'Export'!m1""))")," ")</f>
        <v> </v>
      </c>
      <c r="D151" s="21" t="str">
        <f t="shared" si="1"/>
        <v> ,  ,  </v>
      </c>
      <c r="E151" s="22" t="str">
        <f>IFERROR(__xludf.DUMMYFUNCTION("IF(B151="""","" "",IMPORTRANGE(B151,""'EXPORT'!L1""))")," ")</f>
        <v> </v>
      </c>
      <c r="F151" s="23" t="str">
        <f>IFERROR(__xludf.DUMMYFUNCTION("IF(B151="""","" "",IMPORTRANGE(B151,""'Export'!a1""))")," ")</f>
        <v> </v>
      </c>
      <c r="G151" s="23" t="str">
        <f>IFERROR(__xludf.DUMMYFUNCTION("IF(B151="""","" "",IMPORTRANGE(B151,""'export'!b1""))")," ")</f>
        <v> </v>
      </c>
      <c r="H151" s="23" t="str">
        <f>IFERROR(__xludf.DUMMYFUNCTION("IF(B151="""","" "",IMPORTRANGE(B151,""'export'!c1""))")," ")</f>
        <v> </v>
      </c>
      <c r="I151" s="24" t="str">
        <f>IFERROR(__xludf.DUMMYFUNCTION("IF(B151="""","" "",IMPORTRANGE(B151,""'export'!d1""))")," ")</f>
        <v> </v>
      </c>
      <c r="J151" s="25" t="str">
        <f>IFERROR(__xludf.DUMMYFUNCTION("IF(B151="""","" "",IMPORTRANGE(B151,""'export'!e1""))")," ")</f>
        <v> </v>
      </c>
      <c r="K151" s="25"/>
      <c r="L151" s="21" t="str">
        <f>IFERROR(__xludf.DUMMYFUNCTION("IF(B151="""","" "",IMPORTRANGE(B151,""'export'!f1""))")," ")</f>
        <v> </v>
      </c>
      <c r="M151" s="26" t="str">
        <f>IFERROR(__xludf.DUMMYFUNCTION("IF(B151="""","" "",IMPORTRANGE(B151,""'export'!h3""))")," ")</f>
        <v> </v>
      </c>
      <c r="N151" s="27" t="str">
        <f>IFERROR(__xludf.DUMMYFUNCTION("IF(B151="""","" "",IMPORTRANGE(B151,""'export'!h1""))")," ")</f>
        <v> </v>
      </c>
      <c r="O151" s="28" t="str">
        <f>IFERROR(__xludf.DUMMYFUNCTION("IF(B151="""","" "",IMPORTRANGE(B151,""'export'!h11""))")," ")</f>
        <v> </v>
      </c>
      <c r="P151" s="29" t="str">
        <f>IFERROR(__xludf.DUMMYFUNCTION("IF(B151="""","" "",IMPORTRANGE(B151,""'export'!i1""))")," ")</f>
        <v> </v>
      </c>
      <c r="Q151" s="30" t="str">
        <f>IFERROR(__xludf.DUMMYFUNCTION("IF(B151="""","" "",IMPORTRANGE(B151,""'export'!i13""))")," ")</f>
        <v> </v>
      </c>
      <c r="R151" s="31" t="str">
        <f t="shared" si="2"/>
        <v/>
      </c>
      <c r="S151" s="32" t="str">
        <f>IFERROR(__xludf.DUMMYFUNCTION("IF(B151="""","" "",IMPORTRANGE(B151,""'export'!g1""))")," ")</f>
        <v> </v>
      </c>
    </row>
    <row r="152">
      <c r="A152" s="18"/>
      <c r="B152" s="35"/>
      <c r="C152" s="20" t="str">
        <f>IFERROR(__xludf.DUMMYFUNCTION("IF(B152="""","" "",IMPORTRANGE(B152,""'Export'!m1""))")," ")</f>
        <v> </v>
      </c>
      <c r="D152" s="21" t="str">
        <f t="shared" si="1"/>
        <v> ,  ,  </v>
      </c>
      <c r="E152" s="22" t="str">
        <f>IFERROR(__xludf.DUMMYFUNCTION("IF(B152="""","" "",IMPORTRANGE(B152,""'EXPORT'!L1""))")," ")</f>
        <v> </v>
      </c>
      <c r="F152" s="23" t="str">
        <f>IFERROR(__xludf.DUMMYFUNCTION("IF(B152="""","" "",IMPORTRANGE(B152,""'Export'!a1""))")," ")</f>
        <v> </v>
      </c>
      <c r="G152" s="23" t="str">
        <f>IFERROR(__xludf.DUMMYFUNCTION("IF(B152="""","" "",IMPORTRANGE(B152,""'export'!b1""))")," ")</f>
        <v> </v>
      </c>
      <c r="H152" s="23" t="str">
        <f>IFERROR(__xludf.DUMMYFUNCTION("IF(B152="""","" "",IMPORTRANGE(B152,""'export'!c1""))")," ")</f>
        <v> </v>
      </c>
      <c r="I152" s="24" t="str">
        <f>IFERROR(__xludf.DUMMYFUNCTION("IF(B152="""","" "",IMPORTRANGE(B152,""'export'!d1""))")," ")</f>
        <v> </v>
      </c>
      <c r="J152" s="25" t="str">
        <f>IFERROR(__xludf.DUMMYFUNCTION("IF(B152="""","" "",IMPORTRANGE(B152,""'export'!e1""))")," ")</f>
        <v> </v>
      </c>
      <c r="K152" s="25"/>
      <c r="L152" s="21" t="str">
        <f>IFERROR(__xludf.DUMMYFUNCTION("IF(B152="""","" "",IMPORTRANGE(B152,""'export'!f1""))")," ")</f>
        <v> </v>
      </c>
      <c r="M152" s="26" t="str">
        <f>IFERROR(__xludf.DUMMYFUNCTION("IF(B152="""","" "",IMPORTRANGE(B152,""'export'!h3""))")," ")</f>
        <v> </v>
      </c>
      <c r="N152" s="27" t="str">
        <f>IFERROR(__xludf.DUMMYFUNCTION("IF(B152="""","" "",IMPORTRANGE(B152,""'export'!h1""))")," ")</f>
        <v> </v>
      </c>
      <c r="O152" s="28" t="str">
        <f>IFERROR(__xludf.DUMMYFUNCTION("IF(B152="""","" "",IMPORTRANGE(B152,""'export'!h11""))")," ")</f>
        <v> </v>
      </c>
      <c r="P152" s="29" t="str">
        <f>IFERROR(__xludf.DUMMYFUNCTION("IF(B152="""","" "",IMPORTRANGE(B152,""'export'!i1""))")," ")</f>
        <v> </v>
      </c>
      <c r="Q152" s="30" t="str">
        <f>IFERROR(__xludf.DUMMYFUNCTION("IF(B152="""","" "",IMPORTRANGE(B152,""'export'!i13""))")," ")</f>
        <v> </v>
      </c>
      <c r="R152" s="31" t="str">
        <f t="shared" si="2"/>
        <v/>
      </c>
      <c r="S152" s="32" t="str">
        <f>IFERROR(__xludf.DUMMYFUNCTION("IF(B152="""","" "",IMPORTRANGE(B152,""'export'!g1""))")," ")</f>
        <v> </v>
      </c>
    </row>
    <row r="153">
      <c r="A153" s="18"/>
      <c r="B153" s="35"/>
      <c r="C153" s="20" t="str">
        <f>IFERROR(__xludf.DUMMYFUNCTION("IF(B153="""","" "",IMPORTRANGE(B153,""'Export'!m1""))")," ")</f>
        <v> </v>
      </c>
      <c r="D153" s="21" t="str">
        <f t="shared" si="1"/>
        <v> ,  ,  </v>
      </c>
      <c r="E153" s="22" t="str">
        <f>IFERROR(__xludf.DUMMYFUNCTION("IF(B153="""","" "",IMPORTRANGE(B153,""'EXPORT'!L1""))")," ")</f>
        <v> </v>
      </c>
      <c r="F153" s="23" t="str">
        <f>IFERROR(__xludf.DUMMYFUNCTION("IF(B153="""","" "",IMPORTRANGE(B153,""'Export'!a1""))")," ")</f>
        <v> </v>
      </c>
      <c r="G153" s="23" t="str">
        <f>IFERROR(__xludf.DUMMYFUNCTION("IF(B153="""","" "",IMPORTRANGE(B153,""'export'!b1""))")," ")</f>
        <v> </v>
      </c>
      <c r="H153" s="23" t="str">
        <f>IFERROR(__xludf.DUMMYFUNCTION("IF(B153="""","" "",IMPORTRANGE(B153,""'export'!c1""))")," ")</f>
        <v> </v>
      </c>
      <c r="I153" s="24" t="str">
        <f>IFERROR(__xludf.DUMMYFUNCTION("IF(B153="""","" "",IMPORTRANGE(B153,""'export'!d1""))")," ")</f>
        <v> </v>
      </c>
      <c r="J153" s="25" t="str">
        <f>IFERROR(__xludf.DUMMYFUNCTION("IF(B153="""","" "",IMPORTRANGE(B153,""'export'!e1""))")," ")</f>
        <v> </v>
      </c>
      <c r="K153" s="25"/>
      <c r="L153" s="21" t="str">
        <f>IFERROR(__xludf.DUMMYFUNCTION("IF(B153="""","" "",IMPORTRANGE(B153,""'export'!f1""))")," ")</f>
        <v> </v>
      </c>
      <c r="M153" s="26" t="str">
        <f>IFERROR(__xludf.DUMMYFUNCTION("IF(B153="""","" "",IMPORTRANGE(B153,""'export'!h3""))")," ")</f>
        <v> </v>
      </c>
      <c r="N153" s="27" t="str">
        <f>IFERROR(__xludf.DUMMYFUNCTION("IF(B153="""","" "",IMPORTRANGE(B153,""'export'!h1""))")," ")</f>
        <v> </v>
      </c>
      <c r="O153" s="28" t="str">
        <f>IFERROR(__xludf.DUMMYFUNCTION("IF(B153="""","" "",IMPORTRANGE(B153,""'export'!h11""))")," ")</f>
        <v> </v>
      </c>
      <c r="P153" s="29" t="str">
        <f>IFERROR(__xludf.DUMMYFUNCTION("IF(B153="""","" "",IMPORTRANGE(B153,""'export'!i1""))")," ")</f>
        <v> </v>
      </c>
      <c r="Q153" s="30" t="str">
        <f>IFERROR(__xludf.DUMMYFUNCTION("IF(B153="""","" "",IMPORTRANGE(B153,""'export'!i13""))")," ")</f>
        <v> </v>
      </c>
      <c r="R153" s="31" t="str">
        <f t="shared" si="2"/>
        <v/>
      </c>
      <c r="S153" s="32" t="str">
        <f>IFERROR(__xludf.DUMMYFUNCTION("IF(B153="""","" "",IMPORTRANGE(B153,""'export'!g1""))")," ")</f>
        <v> </v>
      </c>
    </row>
    <row r="154">
      <c r="A154" s="18"/>
      <c r="B154" s="35"/>
      <c r="C154" s="20" t="str">
        <f>IFERROR(__xludf.DUMMYFUNCTION("IF(B154="""","" "",IMPORTRANGE(B154,""'Export'!m1""))")," ")</f>
        <v> </v>
      </c>
      <c r="D154" s="21" t="str">
        <f t="shared" si="1"/>
        <v> ,  ,  </v>
      </c>
      <c r="E154" s="22" t="str">
        <f>IFERROR(__xludf.DUMMYFUNCTION("IF(B154="""","" "",IMPORTRANGE(B154,""'EXPORT'!L1""))")," ")</f>
        <v> </v>
      </c>
      <c r="F154" s="23" t="str">
        <f>IFERROR(__xludf.DUMMYFUNCTION("IF(B154="""","" "",IMPORTRANGE(B154,""'Export'!a1""))")," ")</f>
        <v> </v>
      </c>
      <c r="G154" s="23" t="str">
        <f>IFERROR(__xludf.DUMMYFUNCTION("IF(B154="""","" "",IMPORTRANGE(B154,""'export'!b1""))")," ")</f>
        <v> </v>
      </c>
      <c r="H154" s="23" t="str">
        <f>IFERROR(__xludf.DUMMYFUNCTION("IF(B154="""","" "",IMPORTRANGE(B154,""'export'!c1""))")," ")</f>
        <v> </v>
      </c>
      <c r="I154" s="24" t="str">
        <f>IFERROR(__xludf.DUMMYFUNCTION("IF(B154="""","" "",IMPORTRANGE(B154,""'export'!d1""))")," ")</f>
        <v> </v>
      </c>
      <c r="J154" s="25" t="str">
        <f>IFERROR(__xludf.DUMMYFUNCTION("IF(B154="""","" "",IMPORTRANGE(B154,""'export'!e1""))")," ")</f>
        <v> </v>
      </c>
      <c r="K154" s="25"/>
      <c r="L154" s="21" t="str">
        <f>IFERROR(__xludf.DUMMYFUNCTION("IF(B154="""","" "",IMPORTRANGE(B154,""'export'!f1""))")," ")</f>
        <v> </v>
      </c>
      <c r="M154" s="26" t="str">
        <f>IFERROR(__xludf.DUMMYFUNCTION("IF(B154="""","" "",IMPORTRANGE(B154,""'export'!h3""))")," ")</f>
        <v> </v>
      </c>
      <c r="N154" s="27" t="str">
        <f>IFERROR(__xludf.DUMMYFUNCTION("IF(B154="""","" "",IMPORTRANGE(B154,""'export'!h1""))")," ")</f>
        <v> </v>
      </c>
      <c r="O154" s="28" t="str">
        <f>IFERROR(__xludf.DUMMYFUNCTION("IF(B154="""","" "",IMPORTRANGE(B154,""'export'!h11""))")," ")</f>
        <v> </v>
      </c>
      <c r="P154" s="29" t="str">
        <f>IFERROR(__xludf.DUMMYFUNCTION("IF(B154="""","" "",IMPORTRANGE(B154,""'export'!i1""))")," ")</f>
        <v> </v>
      </c>
      <c r="Q154" s="30" t="str">
        <f>IFERROR(__xludf.DUMMYFUNCTION("IF(B154="""","" "",IMPORTRANGE(B154,""'export'!i13""))")," ")</f>
        <v> </v>
      </c>
      <c r="R154" s="31" t="str">
        <f t="shared" si="2"/>
        <v/>
      </c>
      <c r="S154" s="32" t="str">
        <f>IFERROR(__xludf.DUMMYFUNCTION("IF(B154="""","" "",IMPORTRANGE(B154,""'export'!g1""))")," ")</f>
        <v> </v>
      </c>
    </row>
    <row r="155">
      <c r="A155" s="18"/>
      <c r="B155" s="35"/>
      <c r="C155" s="20" t="str">
        <f>IFERROR(__xludf.DUMMYFUNCTION("IF(B155="""","" "",IMPORTRANGE(B155,""'Export'!m1""))")," ")</f>
        <v> </v>
      </c>
      <c r="D155" s="21" t="str">
        <f t="shared" si="1"/>
        <v> ,  ,  </v>
      </c>
      <c r="E155" s="22" t="str">
        <f>IFERROR(__xludf.DUMMYFUNCTION("IF(B155="""","" "",IMPORTRANGE(B155,""'EXPORT'!L1""))")," ")</f>
        <v> </v>
      </c>
      <c r="F155" s="23" t="str">
        <f>IFERROR(__xludf.DUMMYFUNCTION("IF(B155="""","" "",IMPORTRANGE(B155,""'Export'!a1""))")," ")</f>
        <v> </v>
      </c>
      <c r="G155" s="23" t="str">
        <f>IFERROR(__xludf.DUMMYFUNCTION("IF(B155="""","" "",IMPORTRANGE(B155,""'export'!b1""))")," ")</f>
        <v> </v>
      </c>
      <c r="H155" s="23" t="str">
        <f>IFERROR(__xludf.DUMMYFUNCTION("IF(B155="""","" "",IMPORTRANGE(B155,""'export'!c1""))")," ")</f>
        <v> </v>
      </c>
      <c r="I155" s="24" t="str">
        <f>IFERROR(__xludf.DUMMYFUNCTION("IF(B155="""","" "",IMPORTRANGE(B155,""'export'!d1""))")," ")</f>
        <v> </v>
      </c>
      <c r="J155" s="25" t="str">
        <f>IFERROR(__xludf.DUMMYFUNCTION("IF(B155="""","" "",IMPORTRANGE(B155,""'export'!e1""))")," ")</f>
        <v> </v>
      </c>
      <c r="K155" s="25"/>
      <c r="L155" s="21" t="str">
        <f>IFERROR(__xludf.DUMMYFUNCTION("IF(B155="""","" "",IMPORTRANGE(B155,""'export'!f1""))")," ")</f>
        <v> </v>
      </c>
      <c r="M155" s="26" t="str">
        <f>IFERROR(__xludf.DUMMYFUNCTION("IF(B155="""","" "",IMPORTRANGE(B155,""'export'!h3""))")," ")</f>
        <v> </v>
      </c>
      <c r="N155" s="27" t="str">
        <f>IFERROR(__xludf.DUMMYFUNCTION("IF(B155="""","" "",IMPORTRANGE(B155,""'export'!h1""))")," ")</f>
        <v> </v>
      </c>
      <c r="O155" s="28" t="str">
        <f>IFERROR(__xludf.DUMMYFUNCTION("IF(B155="""","" "",IMPORTRANGE(B155,""'export'!h11""))")," ")</f>
        <v> </v>
      </c>
      <c r="P155" s="29" t="str">
        <f>IFERROR(__xludf.DUMMYFUNCTION("IF(B155="""","" "",IMPORTRANGE(B155,""'export'!i1""))")," ")</f>
        <v> </v>
      </c>
      <c r="Q155" s="30" t="str">
        <f>IFERROR(__xludf.DUMMYFUNCTION("IF(B155="""","" "",IMPORTRANGE(B155,""'export'!i13""))")," ")</f>
        <v> </v>
      </c>
      <c r="R155" s="31" t="str">
        <f t="shared" si="2"/>
        <v/>
      </c>
      <c r="S155" s="32" t="str">
        <f>IFERROR(__xludf.DUMMYFUNCTION("IF(B155="""","" "",IMPORTRANGE(B155,""'export'!g1""))")," ")</f>
        <v> </v>
      </c>
    </row>
    <row r="156">
      <c r="A156" s="18"/>
      <c r="B156" s="35"/>
      <c r="C156" s="20" t="str">
        <f>IFERROR(__xludf.DUMMYFUNCTION("IF(B156="""","" "",IMPORTRANGE(B156,""'Export'!m1""))")," ")</f>
        <v> </v>
      </c>
      <c r="D156" s="21" t="str">
        <f t="shared" si="1"/>
        <v> ,  ,  </v>
      </c>
      <c r="E156" s="22" t="str">
        <f>IFERROR(__xludf.DUMMYFUNCTION("IF(B156="""","" "",IMPORTRANGE(B156,""'EXPORT'!L1""))")," ")</f>
        <v> </v>
      </c>
      <c r="F156" s="23" t="str">
        <f>IFERROR(__xludf.DUMMYFUNCTION("IF(B156="""","" "",IMPORTRANGE(B156,""'Export'!a1""))")," ")</f>
        <v> </v>
      </c>
      <c r="G156" s="23" t="str">
        <f>IFERROR(__xludf.DUMMYFUNCTION("IF(B156="""","" "",IMPORTRANGE(B156,""'export'!b1""))")," ")</f>
        <v> </v>
      </c>
      <c r="H156" s="23" t="str">
        <f>IFERROR(__xludf.DUMMYFUNCTION("IF(B156="""","" "",IMPORTRANGE(B156,""'export'!c1""))")," ")</f>
        <v> </v>
      </c>
      <c r="I156" s="24" t="str">
        <f>IFERROR(__xludf.DUMMYFUNCTION("IF(B156="""","" "",IMPORTRANGE(B156,""'export'!d1""))")," ")</f>
        <v> </v>
      </c>
      <c r="J156" s="25" t="str">
        <f>IFERROR(__xludf.DUMMYFUNCTION("IF(B156="""","" "",IMPORTRANGE(B156,""'export'!e1""))")," ")</f>
        <v> </v>
      </c>
      <c r="K156" s="25"/>
      <c r="L156" s="21" t="str">
        <f>IFERROR(__xludf.DUMMYFUNCTION("IF(B156="""","" "",IMPORTRANGE(B156,""'export'!f1""))")," ")</f>
        <v> </v>
      </c>
      <c r="M156" s="26" t="str">
        <f>IFERROR(__xludf.DUMMYFUNCTION("IF(B156="""","" "",IMPORTRANGE(B156,""'export'!h3""))")," ")</f>
        <v> </v>
      </c>
      <c r="N156" s="27" t="str">
        <f>IFERROR(__xludf.DUMMYFUNCTION("IF(B156="""","" "",IMPORTRANGE(B156,""'export'!h1""))")," ")</f>
        <v> </v>
      </c>
      <c r="O156" s="28" t="str">
        <f>IFERROR(__xludf.DUMMYFUNCTION("IF(B156="""","" "",IMPORTRANGE(B156,""'export'!h11""))")," ")</f>
        <v> </v>
      </c>
      <c r="P156" s="29" t="str">
        <f>IFERROR(__xludf.DUMMYFUNCTION("IF(B156="""","" "",IMPORTRANGE(B156,""'export'!i1""))")," ")</f>
        <v> </v>
      </c>
      <c r="Q156" s="30" t="str">
        <f>IFERROR(__xludf.DUMMYFUNCTION("IF(B156="""","" "",IMPORTRANGE(B156,""'export'!i13""))")," ")</f>
        <v> </v>
      </c>
      <c r="R156" s="31" t="str">
        <f t="shared" si="2"/>
        <v/>
      </c>
      <c r="S156" s="32" t="str">
        <f>IFERROR(__xludf.DUMMYFUNCTION("IF(B156="""","" "",IMPORTRANGE(B156,""'export'!g1""))")," ")</f>
        <v> </v>
      </c>
    </row>
    <row r="157">
      <c r="A157" s="18"/>
      <c r="B157" s="35"/>
      <c r="C157" s="20" t="str">
        <f>IFERROR(__xludf.DUMMYFUNCTION("IF(B157="""","" "",IMPORTRANGE(B157,""'Export'!m1""))")," ")</f>
        <v> </v>
      </c>
      <c r="D157" s="21" t="str">
        <f t="shared" si="1"/>
        <v> ,  ,  </v>
      </c>
      <c r="E157" s="22" t="str">
        <f>IFERROR(__xludf.DUMMYFUNCTION("IF(B157="""","" "",IMPORTRANGE(B157,""'EXPORT'!L1""))")," ")</f>
        <v> </v>
      </c>
      <c r="F157" s="23" t="str">
        <f>IFERROR(__xludf.DUMMYFUNCTION("IF(B157="""","" "",IMPORTRANGE(B157,""'Export'!a1""))")," ")</f>
        <v> </v>
      </c>
      <c r="G157" s="23" t="str">
        <f>IFERROR(__xludf.DUMMYFUNCTION("IF(B157="""","" "",IMPORTRANGE(B157,""'export'!b1""))")," ")</f>
        <v> </v>
      </c>
      <c r="H157" s="23" t="str">
        <f>IFERROR(__xludf.DUMMYFUNCTION("IF(B157="""","" "",IMPORTRANGE(B157,""'export'!c1""))")," ")</f>
        <v> </v>
      </c>
      <c r="I157" s="24" t="str">
        <f>IFERROR(__xludf.DUMMYFUNCTION("IF(B157="""","" "",IMPORTRANGE(B157,""'export'!d1""))")," ")</f>
        <v> </v>
      </c>
      <c r="J157" s="25" t="str">
        <f>IFERROR(__xludf.DUMMYFUNCTION("IF(B157="""","" "",IMPORTRANGE(B157,""'export'!e1""))")," ")</f>
        <v> </v>
      </c>
      <c r="K157" s="25"/>
      <c r="L157" s="21" t="str">
        <f>IFERROR(__xludf.DUMMYFUNCTION("IF(B157="""","" "",IMPORTRANGE(B157,""'export'!f1""))")," ")</f>
        <v> </v>
      </c>
      <c r="M157" s="26" t="str">
        <f>IFERROR(__xludf.DUMMYFUNCTION("IF(B157="""","" "",IMPORTRANGE(B157,""'export'!h3""))")," ")</f>
        <v> </v>
      </c>
      <c r="N157" s="27" t="str">
        <f>IFERROR(__xludf.DUMMYFUNCTION("IF(B157="""","" "",IMPORTRANGE(B157,""'export'!h1""))")," ")</f>
        <v> </v>
      </c>
      <c r="O157" s="28" t="str">
        <f>IFERROR(__xludf.DUMMYFUNCTION("IF(B157="""","" "",IMPORTRANGE(B157,""'export'!h11""))")," ")</f>
        <v> </v>
      </c>
      <c r="P157" s="29" t="str">
        <f>IFERROR(__xludf.DUMMYFUNCTION("IF(B157="""","" "",IMPORTRANGE(B157,""'export'!i1""))")," ")</f>
        <v> </v>
      </c>
      <c r="Q157" s="30" t="str">
        <f>IFERROR(__xludf.DUMMYFUNCTION("IF(B157="""","" "",IMPORTRANGE(B157,""'export'!i13""))")," ")</f>
        <v> </v>
      </c>
      <c r="R157" s="31" t="str">
        <f t="shared" si="2"/>
        <v/>
      </c>
      <c r="S157" s="32" t="str">
        <f>IFERROR(__xludf.DUMMYFUNCTION("IF(B157="""","" "",IMPORTRANGE(B157,""'export'!g1""))")," ")</f>
        <v> </v>
      </c>
    </row>
    <row r="158">
      <c r="A158" s="18"/>
      <c r="B158" s="35"/>
      <c r="C158" s="20" t="str">
        <f>IFERROR(__xludf.DUMMYFUNCTION("IF(B158="""","" "",IMPORTRANGE(B158,""'Export'!m1""))")," ")</f>
        <v> </v>
      </c>
      <c r="D158" s="21" t="str">
        <f t="shared" si="1"/>
        <v> ,  ,  </v>
      </c>
      <c r="E158" s="22" t="str">
        <f>IFERROR(__xludf.DUMMYFUNCTION("IF(B158="""","" "",IMPORTRANGE(B158,""'EXPORT'!L1""))")," ")</f>
        <v> </v>
      </c>
      <c r="F158" s="23" t="str">
        <f>IFERROR(__xludf.DUMMYFUNCTION("IF(B158="""","" "",IMPORTRANGE(B158,""'Export'!a1""))")," ")</f>
        <v> </v>
      </c>
      <c r="G158" s="23" t="str">
        <f>IFERROR(__xludf.DUMMYFUNCTION("IF(B158="""","" "",IMPORTRANGE(B158,""'export'!b1""))")," ")</f>
        <v> </v>
      </c>
      <c r="H158" s="23" t="str">
        <f>IFERROR(__xludf.DUMMYFUNCTION("IF(B158="""","" "",IMPORTRANGE(B158,""'export'!c1""))")," ")</f>
        <v> </v>
      </c>
      <c r="I158" s="24" t="str">
        <f>IFERROR(__xludf.DUMMYFUNCTION("IF(B158="""","" "",IMPORTRANGE(B158,""'export'!d1""))")," ")</f>
        <v> </v>
      </c>
      <c r="J158" s="25" t="str">
        <f>IFERROR(__xludf.DUMMYFUNCTION("IF(B158="""","" "",IMPORTRANGE(B158,""'export'!e1""))")," ")</f>
        <v> </v>
      </c>
      <c r="K158" s="25"/>
      <c r="L158" s="21" t="str">
        <f>IFERROR(__xludf.DUMMYFUNCTION("IF(B158="""","" "",IMPORTRANGE(B158,""'export'!f1""))")," ")</f>
        <v> </v>
      </c>
      <c r="M158" s="26" t="str">
        <f>IFERROR(__xludf.DUMMYFUNCTION("IF(B158="""","" "",IMPORTRANGE(B158,""'export'!h3""))")," ")</f>
        <v> </v>
      </c>
      <c r="N158" s="27" t="str">
        <f>IFERROR(__xludf.DUMMYFUNCTION("IF(B158="""","" "",IMPORTRANGE(B158,""'export'!h1""))")," ")</f>
        <v> </v>
      </c>
      <c r="O158" s="28" t="str">
        <f>IFERROR(__xludf.DUMMYFUNCTION("IF(B158="""","" "",IMPORTRANGE(B158,""'export'!h11""))")," ")</f>
        <v> </v>
      </c>
      <c r="P158" s="29" t="str">
        <f>IFERROR(__xludf.DUMMYFUNCTION("IF(B158="""","" "",IMPORTRANGE(B158,""'export'!i1""))")," ")</f>
        <v> </v>
      </c>
      <c r="Q158" s="30" t="str">
        <f>IFERROR(__xludf.DUMMYFUNCTION("IF(B158="""","" "",IMPORTRANGE(B158,""'export'!i13""))")," ")</f>
        <v> </v>
      </c>
      <c r="R158" s="31" t="str">
        <f t="shared" si="2"/>
        <v/>
      </c>
      <c r="S158" s="32" t="str">
        <f>IFERROR(__xludf.DUMMYFUNCTION("IF(B158="""","" "",IMPORTRANGE(B158,""'export'!g1""))")," ")</f>
        <v> </v>
      </c>
    </row>
    <row r="159">
      <c r="A159" s="18"/>
      <c r="B159" s="35"/>
      <c r="C159" s="20" t="str">
        <f>IFERROR(__xludf.DUMMYFUNCTION("IF(B159="""","" "",IMPORTRANGE(B159,""'Export'!m1""))")," ")</f>
        <v> </v>
      </c>
      <c r="D159" s="21" t="str">
        <f t="shared" si="1"/>
        <v> ,  ,  </v>
      </c>
      <c r="E159" s="22" t="str">
        <f>IFERROR(__xludf.DUMMYFUNCTION("IF(B159="""","" "",IMPORTRANGE(B159,""'EXPORT'!L1""))")," ")</f>
        <v> </v>
      </c>
      <c r="F159" s="23" t="str">
        <f>IFERROR(__xludf.DUMMYFUNCTION("IF(B159="""","" "",IMPORTRANGE(B159,""'Export'!a1""))")," ")</f>
        <v> </v>
      </c>
      <c r="G159" s="23" t="str">
        <f>IFERROR(__xludf.DUMMYFUNCTION("IF(B159="""","" "",IMPORTRANGE(B159,""'export'!b1""))")," ")</f>
        <v> </v>
      </c>
      <c r="H159" s="23" t="str">
        <f>IFERROR(__xludf.DUMMYFUNCTION("IF(B159="""","" "",IMPORTRANGE(B159,""'export'!c1""))")," ")</f>
        <v> </v>
      </c>
      <c r="I159" s="24" t="str">
        <f>IFERROR(__xludf.DUMMYFUNCTION("IF(B159="""","" "",IMPORTRANGE(B159,""'export'!d1""))")," ")</f>
        <v> </v>
      </c>
      <c r="J159" s="25" t="str">
        <f>IFERROR(__xludf.DUMMYFUNCTION("IF(B159="""","" "",IMPORTRANGE(B159,""'export'!e1""))")," ")</f>
        <v> </v>
      </c>
      <c r="K159" s="25"/>
      <c r="L159" s="21" t="str">
        <f>IFERROR(__xludf.DUMMYFUNCTION("IF(B159="""","" "",IMPORTRANGE(B159,""'export'!f1""))")," ")</f>
        <v> </v>
      </c>
      <c r="M159" s="26" t="str">
        <f>IFERROR(__xludf.DUMMYFUNCTION("IF(B159="""","" "",IMPORTRANGE(B159,""'export'!h3""))")," ")</f>
        <v> </v>
      </c>
      <c r="N159" s="27" t="str">
        <f>IFERROR(__xludf.DUMMYFUNCTION("IF(B159="""","" "",IMPORTRANGE(B159,""'export'!h1""))")," ")</f>
        <v> </v>
      </c>
      <c r="O159" s="28" t="str">
        <f>IFERROR(__xludf.DUMMYFUNCTION("IF(B159="""","" "",IMPORTRANGE(B159,""'export'!h11""))")," ")</f>
        <v> </v>
      </c>
      <c r="P159" s="29" t="str">
        <f>IFERROR(__xludf.DUMMYFUNCTION("IF(B159="""","" "",IMPORTRANGE(B159,""'export'!i1""))")," ")</f>
        <v> </v>
      </c>
      <c r="Q159" s="30" t="str">
        <f>IFERROR(__xludf.DUMMYFUNCTION("IF(B159="""","" "",IMPORTRANGE(B159,""'export'!i13""))")," ")</f>
        <v> </v>
      </c>
      <c r="R159" s="31" t="str">
        <f t="shared" si="2"/>
        <v/>
      </c>
      <c r="S159" s="32" t="str">
        <f>IFERROR(__xludf.DUMMYFUNCTION("IF(B159="""","" "",IMPORTRANGE(B159,""'export'!g1""))")," ")</f>
        <v> </v>
      </c>
    </row>
    <row r="160">
      <c r="A160" s="18"/>
      <c r="B160" s="35"/>
      <c r="C160" s="20" t="str">
        <f>IFERROR(__xludf.DUMMYFUNCTION("IF(B160="""","" "",IMPORTRANGE(B160,""'Export'!m1""))")," ")</f>
        <v> </v>
      </c>
      <c r="D160" s="21" t="str">
        <f t="shared" si="1"/>
        <v> ,  ,  </v>
      </c>
      <c r="E160" s="22" t="str">
        <f>IFERROR(__xludf.DUMMYFUNCTION("IF(B160="""","" "",IMPORTRANGE(B160,""'EXPORT'!L1""))")," ")</f>
        <v> </v>
      </c>
      <c r="F160" s="23" t="str">
        <f>IFERROR(__xludf.DUMMYFUNCTION("IF(B160="""","" "",IMPORTRANGE(B160,""'Export'!a1""))")," ")</f>
        <v> </v>
      </c>
      <c r="G160" s="23" t="str">
        <f>IFERROR(__xludf.DUMMYFUNCTION("IF(B160="""","" "",IMPORTRANGE(B160,""'export'!b1""))")," ")</f>
        <v> </v>
      </c>
      <c r="H160" s="23" t="str">
        <f>IFERROR(__xludf.DUMMYFUNCTION("IF(B160="""","" "",IMPORTRANGE(B160,""'export'!c1""))")," ")</f>
        <v> </v>
      </c>
      <c r="I160" s="24" t="str">
        <f>IFERROR(__xludf.DUMMYFUNCTION("IF(B160="""","" "",IMPORTRANGE(B160,""'export'!d1""))")," ")</f>
        <v> </v>
      </c>
      <c r="J160" s="25" t="str">
        <f>IFERROR(__xludf.DUMMYFUNCTION("IF(B160="""","" "",IMPORTRANGE(B160,""'export'!e1""))")," ")</f>
        <v> </v>
      </c>
      <c r="K160" s="25"/>
      <c r="L160" s="21" t="str">
        <f>IFERROR(__xludf.DUMMYFUNCTION("IF(B160="""","" "",IMPORTRANGE(B160,""'export'!f1""))")," ")</f>
        <v> </v>
      </c>
      <c r="M160" s="26" t="str">
        <f>IFERROR(__xludf.DUMMYFUNCTION("IF(B160="""","" "",IMPORTRANGE(B160,""'export'!h3""))")," ")</f>
        <v> </v>
      </c>
      <c r="N160" s="27" t="str">
        <f>IFERROR(__xludf.DUMMYFUNCTION("IF(B160="""","" "",IMPORTRANGE(B160,""'export'!h1""))")," ")</f>
        <v> </v>
      </c>
      <c r="O160" s="28" t="str">
        <f>IFERROR(__xludf.DUMMYFUNCTION("IF(B160="""","" "",IMPORTRANGE(B160,""'export'!h11""))")," ")</f>
        <v> </v>
      </c>
      <c r="P160" s="29" t="str">
        <f>IFERROR(__xludf.DUMMYFUNCTION("IF(B160="""","" "",IMPORTRANGE(B160,""'export'!i1""))")," ")</f>
        <v> </v>
      </c>
      <c r="Q160" s="30" t="str">
        <f>IFERROR(__xludf.DUMMYFUNCTION("IF(B160="""","" "",IMPORTRANGE(B160,""'export'!i13""))")," ")</f>
        <v> </v>
      </c>
      <c r="R160" s="31" t="str">
        <f t="shared" si="2"/>
        <v/>
      </c>
      <c r="S160" s="32" t="str">
        <f>IFERROR(__xludf.DUMMYFUNCTION("IF(B160="""","" "",IMPORTRANGE(B160,""'export'!g1""))")," ")</f>
        <v> </v>
      </c>
    </row>
    <row r="161">
      <c r="A161" s="18"/>
      <c r="B161" s="35"/>
      <c r="C161" s="20" t="str">
        <f>IFERROR(__xludf.DUMMYFUNCTION("IF(B161="""","" "",IMPORTRANGE(B161,""'Export'!m1""))")," ")</f>
        <v> </v>
      </c>
      <c r="D161" s="21" t="str">
        <f t="shared" si="1"/>
        <v> ,  ,  </v>
      </c>
      <c r="E161" s="22" t="str">
        <f>IFERROR(__xludf.DUMMYFUNCTION("IF(B161="""","" "",IMPORTRANGE(B161,""'EXPORT'!L1""))")," ")</f>
        <v> </v>
      </c>
      <c r="F161" s="23" t="str">
        <f>IFERROR(__xludf.DUMMYFUNCTION("IF(B161="""","" "",IMPORTRANGE(B161,""'Export'!a1""))")," ")</f>
        <v> </v>
      </c>
      <c r="G161" s="23" t="str">
        <f>IFERROR(__xludf.DUMMYFUNCTION("IF(B161="""","" "",IMPORTRANGE(B161,""'export'!b1""))")," ")</f>
        <v> </v>
      </c>
      <c r="H161" s="23" t="str">
        <f>IFERROR(__xludf.DUMMYFUNCTION("IF(B161="""","" "",IMPORTRANGE(B161,""'export'!c1""))")," ")</f>
        <v> </v>
      </c>
      <c r="I161" s="24" t="str">
        <f>IFERROR(__xludf.DUMMYFUNCTION("IF(B161="""","" "",IMPORTRANGE(B161,""'export'!d1""))")," ")</f>
        <v> </v>
      </c>
      <c r="J161" s="25" t="str">
        <f>IFERROR(__xludf.DUMMYFUNCTION("IF(B161="""","" "",IMPORTRANGE(B161,""'export'!e1""))")," ")</f>
        <v> </v>
      </c>
      <c r="K161" s="25"/>
      <c r="L161" s="21" t="str">
        <f>IFERROR(__xludf.DUMMYFUNCTION("IF(B161="""","" "",IMPORTRANGE(B161,""'export'!f1""))")," ")</f>
        <v> </v>
      </c>
      <c r="M161" s="26" t="str">
        <f>IFERROR(__xludf.DUMMYFUNCTION("IF(B161="""","" "",IMPORTRANGE(B161,""'export'!h3""))")," ")</f>
        <v> </v>
      </c>
      <c r="N161" s="27" t="str">
        <f>IFERROR(__xludf.DUMMYFUNCTION("IF(B161="""","" "",IMPORTRANGE(B161,""'export'!h1""))")," ")</f>
        <v> </v>
      </c>
      <c r="O161" s="28" t="str">
        <f>IFERROR(__xludf.DUMMYFUNCTION("IF(B161="""","" "",IMPORTRANGE(B161,""'export'!h11""))")," ")</f>
        <v> </v>
      </c>
      <c r="P161" s="29" t="str">
        <f>IFERROR(__xludf.DUMMYFUNCTION("IF(B161="""","" "",IMPORTRANGE(B161,""'export'!i1""))")," ")</f>
        <v> </v>
      </c>
      <c r="Q161" s="30" t="str">
        <f>IFERROR(__xludf.DUMMYFUNCTION("IF(B161="""","" "",IMPORTRANGE(B161,""'export'!i13""))")," ")</f>
        <v> </v>
      </c>
      <c r="R161" s="31" t="str">
        <f t="shared" si="2"/>
        <v/>
      </c>
      <c r="S161" s="32" t="str">
        <f>IFERROR(__xludf.DUMMYFUNCTION("IF(B161="""","" "",IMPORTRANGE(B161,""'export'!g1""))")," ")</f>
        <v> </v>
      </c>
    </row>
    <row r="162">
      <c r="A162" s="18"/>
      <c r="B162" s="35"/>
      <c r="C162" s="20" t="str">
        <f>IFERROR(__xludf.DUMMYFUNCTION("IF(B162="""","" "",IMPORTRANGE(B162,""'Export'!m1""))")," ")</f>
        <v> </v>
      </c>
      <c r="D162" s="21" t="str">
        <f t="shared" si="1"/>
        <v> ,  ,  </v>
      </c>
      <c r="E162" s="22" t="str">
        <f>IFERROR(__xludf.DUMMYFUNCTION("IF(B162="""","" "",IMPORTRANGE(B162,""'EXPORT'!L1""))")," ")</f>
        <v> </v>
      </c>
      <c r="F162" s="23" t="str">
        <f>IFERROR(__xludf.DUMMYFUNCTION("IF(B162="""","" "",IMPORTRANGE(B162,""'Export'!a1""))")," ")</f>
        <v> </v>
      </c>
      <c r="G162" s="23" t="str">
        <f>IFERROR(__xludf.DUMMYFUNCTION("IF(B162="""","" "",IMPORTRANGE(B162,""'export'!b1""))")," ")</f>
        <v> </v>
      </c>
      <c r="H162" s="23" t="str">
        <f>IFERROR(__xludf.DUMMYFUNCTION("IF(B162="""","" "",IMPORTRANGE(B162,""'export'!c1""))")," ")</f>
        <v> </v>
      </c>
      <c r="I162" s="24" t="str">
        <f>IFERROR(__xludf.DUMMYFUNCTION("IF(B162="""","" "",IMPORTRANGE(B162,""'export'!d1""))")," ")</f>
        <v> </v>
      </c>
      <c r="J162" s="25" t="str">
        <f>IFERROR(__xludf.DUMMYFUNCTION("IF(B162="""","" "",IMPORTRANGE(B162,""'export'!e1""))")," ")</f>
        <v> </v>
      </c>
      <c r="K162" s="25"/>
      <c r="L162" s="21" t="str">
        <f>IFERROR(__xludf.DUMMYFUNCTION("IF(B162="""","" "",IMPORTRANGE(B162,""'export'!f1""))")," ")</f>
        <v> </v>
      </c>
      <c r="M162" s="26" t="str">
        <f>IFERROR(__xludf.DUMMYFUNCTION("IF(B162="""","" "",IMPORTRANGE(B162,""'export'!h3""))")," ")</f>
        <v> </v>
      </c>
      <c r="N162" s="27" t="str">
        <f>IFERROR(__xludf.DUMMYFUNCTION("IF(B162="""","" "",IMPORTRANGE(B162,""'export'!h1""))")," ")</f>
        <v> </v>
      </c>
      <c r="O162" s="28" t="str">
        <f>IFERROR(__xludf.DUMMYFUNCTION("IF(B162="""","" "",IMPORTRANGE(B162,""'export'!h11""))")," ")</f>
        <v> </v>
      </c>
      <c r="P162" s="29" t="str">
        <f>IFERROR(__xludf.DUMMYFUNCTION("IF(B162="""","" "",IMPORTRANGE(B162,""'export'!i1""))")," ")</f>
        <v> </v>
      </c>
      <c r="Q162" s="30" t="str">
        <f>IFERROR(__xludf.DUMMYFUNCTION("IF(B162="""","" "",IMPORTRANGE(B162,""'export'!i13""))")," ")</f>
        <v> </v>
      </c>
      <c r="R162" s="31" t="str">
        <f t="shared" si="2"/>
        <v/>
      </c>
      <c r="S162" s="32" t="str">
        <f>IFERROR(__xludf.DUMMYFUNCTION("IF(B162="""","" "",IMPORTRANGE(B162,""'export'!g1""))")," ")</f>
        <v> </v>
      </c>
    </row>
    <row r="163">
      <c r="A163" s="18"/>
      <c r="B163" s="35"/>
      <c r="C163" s="20" t="str">
        <f>IFERROR(__xludf.DUMMYFUNCTION("IF(B163="""","" "",IMPORTRANGE(B163,""'Export'!m1""))")," ")</f>
        <v> </v>
      </c>
      <c r="D163" s="21" t="str">
        <f t="shared" si="1"/>
        <v> ,  ,  </v>
      </c>
      <c r="E163" s="22" t="str">
        <f>IFERROR(__xludf.DUMMYFUNCTION("IF(B163="""","" "",IMPORTRANGE(B163,""'EXPORT'!L1""))")," ")</f>
        <v> </v>
      </c>
      <c r="F163" s="23" t="str">
        <f>IFERROR(__xludf.DUMMYFUNCTION("IF(B163="""","" "",IMPORTRANGE(B163,""'Export'!a1""))")," ")</f>
        <v> </v>
      </c>
      <c r="G163" s="23" t="str">
        <f>IFERROR(__xludf.DUMMYFUNCTION("IF(B163="""","" "",IMPORTRANGE(B163,""'export'!b1""))")," ")</f>
        <v> </v>
      </c>
      <c r="H163" s="23" t="str">
        <f>IFERROR(__xludf.DUMMYFUNCTION("IF(B163="""","" "",IMPORTRANGE(B163,""'export'!c1""))")," ")</f>
        <v> </v>
      </c>
      <c r="I163" s="24" t="str">
        <f>IFERROR(__xludf.DUMMYFUNCTION("IF(B163="""","" "",IMPORTRANGE(B163,""'export'!d1""))")," ")</f>
        <v> </v>
      </c>
      <c r="J163" s="25" t="str">
        <f>IFERROR(__xludf.DUMMYFUNCTION("IF(B163="""","" "",IMPORTRANGE(B163,""'export'!e1""))")," ")</f>
        <v> </v>
      </c>
      <c r="K163" s="25"/>
      <c r="L163" s="21" t="str">
        <f>IFERROR(__xludf.DUMMYFUNCTION("IF(B163="""","" "",IMPORTRANGE(B163,""'export'!f1""))")," ")</f>
        <v> </v>
      </c>
      <c r="M163" s="26" t="str">
        <f>IFERROR(__xludf.DUMMYFUNCTION("IF(B163="""","" "",IMPORTRANGE(B163,""'export'!h3""))")," ")</f>
        <v> </v>
      </c>
      <c r="N163" s="27" t="str">
        <f>IFERROR(__xludf.DUMMYFUNCTION("IF(B163="""","" "",IMPORTRANGE(B163,""'export'!h1""))")," ")</f>
        <v> </v>
      </c>
      <c r="O163" s="28" t="str">
        <f>IFERROR(__xludf.DUMMYFUNCTION("IF(B163="""","" "",IMPORTRANGE(B163,""'export'!h11""))")," ")</f>
        <v> </v>
      </c>
      <c r="P163" s="29" t="str">
        <f>IFERROR(__xludf.DUMMYFUNCTION("IF(B163="""","" "",IMPORTRANGE(B163,""'export'!i1""))")," ")</f>
        <v> </v>
      </c>
      <c r="Q163" s="30" t="str">
        <f>IFERROR(__xludf.DUMMYFUNCTION("IF(B163="""","" "",IMPORTRANGE(B163,""'export'!i13""))")," ")</f>
        <v> </v>
      </c>
      <c r="R163" s="31" t="str">
        <f t="shared" si="2"/>
        <v/>
      </c>
      <c r="S163" s="32" t="str">
        <f>IFERROR(__xludf.DUMMYFUNCTION("IF(B163="""","" "",IMPORTRANGE(B163,""'export'!g1""))")," ")</f>
        <v> </v>
      </c>
    </row>
    <row r="164">
      <c r="A164" s="18"/>
      <c r="B164" s="35"/>
      <c r="C164" s="20" t="str">
        <f>IFERROR(__xludf.DUMMYFUNCTION("IF(B164="""","" "",IMPORTRANGE(B164,""'Export'!m1""))")," ")</f>
        <v> </v>
      </c>
      <c r="D164" s="21" t="str">
        <f t="shared" si="1"/>
        <v> ,  ,  </v>
      </c>
      <c r="E164" s="22" t="str">
        <f>IFERROR(__xludf.DUMMYFUNCTION("IF(B164="""","" "",IMPORTRANGE(B164,""'EXPORT'!L1""))")," ")</f>
        <v> </v>
      </c>
      <c r="F164" s="23" t="str">
        <f>IFERROR(__xludf.DUMMYFUNCTION("IF(B164="""","" "",IMPORTRANGE(B164,""'Export'!a1""))")," ")</f>
        <v> </v>
      </c>
      <c r="G164" s="23" t="str">
        <f>IFERROR(__xludf.DUMMYFUNCTION("IF(B164="""","" "",IMPORTRANGE(B164,""'export'!b1""))")," ")</f>
        <v> </v>
      </c>
      <c r="H164" s="23" t="str">
        <f>IFERROR(__xludf.DUMMYFUNCTION("IF(B164="""","" "",IMPORTRANGE(B164,""'export'!c1""))")," ")</f>
        <v> </v>
      </c>
      <c r="I164" s="24" t="str">
        <f>IFERROR(__xludf.DUMMYFUNCTION("IF(B164="""","" "",IMPORTRANGE(B164,""'export'!d1""))")," ")</f>
        <v> </v>
      </c>
      <c r="J164" s="25" t="str">
        <f>IFERROR(__xludf.DUMMYFUNCTION("IF(B164="""","" "",IMPORTRANGE(B164,""'export'!e1""))")," ")</f>
        <v> </v>
      </c>
      <c r="K164" s="25"/>
      <c r="L164" s="21" t="str">
        <f>IFERROR(__xludf.DUMMYFUNCTION("IF(B164="""","" "",IMPORTRANGE(B164,""'export'!f1""))")," ")</f>
        <v> </v>
      </c>
      <c r="M164" s="26" t="str">
        <f>IFERROR(__xludf.DUMMYFUNCTION("IF(B164="""","" "",IMPORTRANGE(B164,""'export'!h3""))")," ")</f>
        <v> </v>
      </c>
      <c r="N164" s="27" t="str">
        <f>IFERROR(__xludf.DUMMYFUNCTION("IF(B164="""","" "",IMPORTRANGE(B164,""'export'!h1""))")," ")</f>
        <v> </v>
      </c>
      <c r="O164" s="28" t="str">
        <f>IFERROR(__xludf.DUMMYFUNCTION("IF(B164="""","" "",IMPORTRANGE(B164,""'export'!h11""))")," ")</f>
        <v> </v>
      </c>
      <c r="P164" s="29" t="str">
        <f>IFERROR(__xludf.DUMMYFUNCTION("IF(B164="""","" "",IMPORTRANGE(B164,""'export'!i1""))")," ")</f>
        <v> </v>
      </c>
      <c r="Q164" s="30" t="str">
        <f>IFERROR(__xludf.DUMMYFUNCTION("IF(B164="""","" "",IMPORTRANGE(B164,""'export'!i13""))")," ")</f>
        <v> </v>
      </c>
      <c r="R164" s="31" t="str">
        <f t="shared" si="2"/>
        <v/>
      </c>
      <c r="S164" s="32" t="str">
        <f>IFERROR(__xludf.DUMMYFUNCTION("IF(B164="""","" "",IMPORTRANGE(B164,""'export'!g1""))")," ")</f>
        <v> </v>
      </c>
    </row>
    <row r="165">
      <c r="A165" s="18"/>
      <c r="B165" s="35"/>
      <c r="C165" s="20" t="str">
        <f>IFERROR(__xludf.DUMMYFUNCTION("IF(B165="""","" "",IMPORTRANGE(B165,""'Export'!m1""))")," ")</f>
        <v> </v>
      </c>
      <c r="D165" s="21" t="str">
        <f t="shared" si="1"/>
        <v> ,  ,  </v>
      </c>
      <c r="E165" s="22" t="str">
        <f>IFERROR(__xludf.DUMMYFUNCTION("IF(B165="""","" "",IMPORTRANGE(B165,""'EXPORT'!L1""))")," ")</f>
        <v> </v>
      </c>
      <c r="F165" s="23" t="str">
        <f>IFERROR(__xludf.DUMMYFUNCTION("IF(B165="""","" "",IMPORTRANGE(B165,""'Export'!a1""))")," ")</f>
        <v> </v>
      </c>
      <c r="G165" s="23" t="str">
        <f>IFERROR(__xludf.DUMMYFUNCTION("IF(B165="""","" "",IMPORTRANGE(B165,""'export'!b1""))")," ")</f>
        <v> </v>
      </c>
      <c r="H165" s="23" t="str">
        <f>IFERROR(__xludf.DUMMYFUNCTION("IF(B165="""","" "",IMPORTRANGE(B165,""'export'!c1""))")," ")</f>
        <v> </v>
      </c>
      <c r="I165" s="24" t="str">
        <f>IFERROR(__xludf.DUMMYFUNCTION("IF(B165="""","" "",IMPORTRANGE(B165,""'export'!d1""))")," ")</f>
        <v> </v>
      </c>
      <c r="J165" s="25" t="str">
        <f>IFERROR(__xludf.DUMMYFUNCTION("IF(B165="""","" "",IMPORTRANGE(B165,""'export'!e1""))")," ")</f>
        <v> </v>
      </c>
      <c r="K165" s="25"/>
      <c r="L165" s="21" t="str">
        <f>IFERROR(__xludf.DUMMYFUNCTION("IF(B165="""","" "",IMPORTRANGE(B165,""'export'!f1""))")," ")</f>
        <v> </v>
      </c>
      <c r="M165" s="26" t="str">
        <f>IFERROR(__xludf.DUMMYFUNCTION("IF(B165="""","" "",IMPORTRANGE(B165,""'export'!h3""))")," ")</f>
        <v> </v>
      </c>
      <c r="N165" s="27" t="str">
        <f>IFERROR(__xludf.DUMMYFUNCTION("IF(B165="""","" "",IMPORTRANGE(B165,""'export'!h1""))")," ")</f>
        <v> </v>
      </c>
      <c r="O165" s="28" t="str">
        <f>IFERROR(__xludf.DUMMYFUNCTION("IF(B165="""","" "",IMPORTRANGE(B165,""'export'!h11""))")," ")</f>
        <v> </v>
      </c>
      <c r="P165" s="29" t="str">
        <f>IFERROR(__xludf.DUMMYFUNCTION("IF(B165="""","" "",IMPORTRANGE(B165,""'export'!i1""))")," ")</f>
        <v> </v>
      </c>
      <c r="Q165" s="30" t="str">
        <f>IFERROR(__xludf.DUMMYFUNCTION("IF(B165="""","" "",IMPORTRANGE(B165,""'export'!i13""))")," ")</f>
        <v> </v>
      </c>
      <c r="R165" s="31" t="str">
        <f t="shared" si="2"/>
        <v/>
      </c>
      <c r="S165" s="32" t="str">
        <f>IFERROR(__xludf.DUMMYFUNCTION("IF(B165="""","" "",IMPORTRANGE(B165,""'export'!g1""))")," ")</f>
        <v> </v>
      </c>
    </row>
    <row r="166">
      <c r="A166" s="18"/>
      <c r="B166" s="35"/>
      <c r="C166" s="20" t="str">
        <f>IFERROR(__xludf.DUMMYFUNCTION("IF(B166="""","" "",IMPORTRANGE(B166,""'Export'!m1""))")," ")</f>
        <v> </v>
      </c>
      <c r="D166" s="21" t="str">
        <f t="shared" si="1"/>
        <v> ,  ,  </v>
      </c>
      <c r="E166" s="22" t="str">
        <f>IFERROR(__xludf.DUMMYFUNCTION("IF(B166="""","" "",IMPORTRANGE(B166,""'EXPORT'!L1""))")," ")</f>
        <v> </v>
      </c>
      <c r="F166" s="23" t="str">
        <f>IFERROR(__xludf.DUMMYFUNCTION("IF(B166="""","" "",IMPORTRANGE(B166,""'Export'!a1""))")," ")</f>
        <v> </v>
      </c>
      <c r="G166" s="23" t="str">
        <f>IFERROR(__xludf.DUMMYFUNCTION("IF(B166="""","" "",IMPORTRANGE(B166,""'export'!b1""))")," ")</f>
        <v> </v>
      </c>
      <c r="H166" s="23" t="str">
        <f>IFERROR(__xludf.DUMMYFUNCTION("IF(B166="""","" "",IMPORTRANGE(B166,""'export'!c1""))")," ")</f>
        <v> </v>
      </c>
      <c r="I166" s="24" t="str">
        <f>IFERROR(__xludf.DUMMYFUNCTION("IF(B166="""","" "",IMPORTRANGE(B166,""'export'!d1""))")," ")</f>
        <v> </v>
      </c>
      <c r="J166" s="25" t="str">
        <f>IFERROR(__xludf.DUMMYFUNCTION("IF(B166="""","" "",IMPORTRANGE(B166,""'export'!e1""))")," ")</f>
        <v> </v>
      </c>
      <c r="K166" s="25"/>
      <c r="L166" s="21" t="str">
        <f>IFERROR(__xludf.DUMMYFUNCTION("IF(B166="""","" "",IMPORTRANGE(B166,""'export'!f1""))")," ")</f>
        <v> </v>
      </c>
      <c r="M166" s="26" t="str">
        <f>IFERROR(__xludf.DUMMYFUNCTION("IF(B166="""","" "",IMPORTRANGE(B166,""'export'!h3""))")," ")</f>
        <v> </v>
      </c>
      <c r="N166" s="27" t="str">
        <f>IFERROR(__xludf.DUMMYFUNCTION("IF(B166="""","" "",IMPORTRANGE(B166,""'export'!h1""))")," ")</f>
        <v> </v>
      </c>
      <c r="O166" s="28" t="str">
        <f>IFERROR(__xludf.DUMMYFUNCTION("IF(B166="""","" "",IMPORTRANGE(B166,""'export'!h11""))")," ")</f>
        <v> </v>
      </c>
      <c r="P166" s="29" t="str">
        <f>IFERROR(__xludf.DUMMYFUNCTION("IF(B166="""","" "",IMPORTRANGE(B166,""'export'!i1""))")," ")</f>
        <v> </v>
      </c>
      <c r="Q166" s="30" t="str">
        <f>IFERROR(__xludf.DUMMYFUNCTION("IF(B166="""","" "",IMPORTRANGE(B166,""'export'!i13""))")," ")</f>
        <v> </v>
      </c>
      <c r="R166" s="31" t="str">
        <f t="shared" si="2"/>
        <v/>
      </c>
      <c r="S166" s="32" t="str">
        <f>IFERROR(__xludf.DUMMYFUNCTION("IF(B166="""","" "",IMPORTRANGE(B166,""'export'!g1""))")," ")</f>
        <v> </v>
      </c>
    </row>
    <row r="167">
      <c r="A167" s="18"/>
      <c r="B167" s="35"/>
      <c r="C167" s="20" t="str">
        <f>IFERROR(__xludf.DUMMYFUNCTION("IF(B167="""","" "",IMPORTRANGE(B167,""'Export'!m1""))")," ")</f>
        <v> </v>
      </c>
      <c r="D167" s="21" t="str">
        <f t="shared" si="1"/>
        <v> ,  ,  </v>
      </c>
      <c r="E167" s="22" t="str">
        <f>IFERROR(__xludf.DUMMYFUNCTION("IF(B167="""","" "",IMPORTRANGE(B167,""'EXPORT'!L1""))")," ")</f>
        <v> </v>
      </c>
      <c r="F167" s="23" t="str">
        <f>IFERROR(__xludf.DUMMYFUNCTION("IF(B167="""","" "",IMPORTRANGE(B167,""'Export'!a1""))")," ")</f>
        <v> </v>
      </c>
      <c r="G167" s="23" t="str">
        <f>IFERROR(__xludf.DUMMYFUNCTION("IF(B167="""","" "",IMPORTRANGE(B167,""'export'!b1""))")," ")</f>
        <v> </v>
      </c>
      <c r="H167" s="23" t="str">
        <f>IFERROR(__xludf.DUMMYFUNCTION("IF(B167="""","" "",IMPORTRANGE(B167,""'export'!c1""))")," ")</f>
        <v> </v>
      </c>
      <c r="I167" s="24" t="str">
        <f>IFERROR(__xludf.DUMMYFUNCTION("IF(B167="""","" "",IMPORTRANGE(B167,""'export'!d1""))")," ")</f>
        <v> </v>
      </c>
      <c r="J167" s="25" t="str">
        <f>IFERROR(__xludf.DUMMYFUNCTION("IF(B167="""","" "",IMPORTRANGE(B167,""'export'!e1""))")," ")</f>
        <v> </v>
      </c>
      <c r="K167" s="25"/>
      <c r="L167" s="21" t="str">
        <f>IFERROR(__xludf.DUMMYFUNCTION("IF(B167="""","" "",IMPORTRANGE(B167,""'export'!f1""))")," ")</f>
        <v> </v>
      </c>
      <c r="M167" s="26" t="str">
        <f>IFERROR(__xludf.DUMMYFUNCTION("IF(B167="""","" "",IMPORTRANGE(B167,""'export'!h3""))")," ")</f>
        <v> </v>
      </c>
      <c r="N167" s="27" t="str">
        <f>IFERROR(__xludf.DUMMYFUNCTION("IF(B167="""","" "",IMPORTRANGE(B167,""'export'!h1""))")," ")</f>
        <v> </v>
      </c>
      <c r="O167" s="28" t="str">
        <f>IFERROR(__xludf.DUMMYFUNCTION("IF(B167="""","" "",IMPORTRANGE(B167,""'export'!h11""))")," ")</f>
        <v> </v>
      </c>
      <c r="P167" s="29" t="str">
        <f>IFERROR(__xludf.DUMMYFUNCTION("IF(B167="""","" "",IMPORTRANGE(B167,""'export'!i1""))")," ")</f>
        <v> </v>
      </c>
      <c r="Q167" s="30" t="str">
        <f>IFERROR(__xludf.DUMMYFUNCTION("IF(B167="""","" "",IMPORTRANGE(B167,""'export'!i13""))")," ")</f>
        <v> </v>
      </c>
      <c r="R167" s="31" t="str">
        <f t="shared" si="2"/>
        <v/>
      </c>
      <c r="S167" s="32" t="str">
        <f>IFERROR(__xludf.DUMMYFUNCTION("IF(B167="""","" "",IMPORTRANGE(B167,""'export'!g1""))")," ")</f>
        <v> </v>
      </c>
    </row>
    <row r="168">
      <c r="A168" s="18"/>
      <c r="B168" s="35"/>
      <c r="C168" s="20" t="str">
        <f>IFERROR(__xludf.DUMMYFUNCTION("IF(B168="""","" "",IMPORTRANGE(B168,""'Export'!m1""))")," ")</f>
        <v> </v>
      </c>
      <c r="D168" s="21" t="str">
        <f t="shared" si="1"/>
        <v> ,  ,  </v>
      </c>
      <c r="E168" s="22" t="str">
        <f>IFERROR(__xludf.DUMMYFUNCTION("IF(B168="""","" "",IMPORTRANGE(B168,""'EXPORT'!L1""))")," ")</f>
        <v> </v>
      </c>
      <c r="F168" s="23" t="str">
        <f>IFERROR(__xludf.DUMMYFUNCTION("IF(B168="""","" "",IMPORTRANGE(B168,""'Export'!a1""))")," ")</f>
        <v> </v>
      </c>
      <c r="G168" s="23" t="str">
        <f>IFERROR(__xludf.DUMMYFUNCTION("IF(B168="""","" "",IMPORTRANGE(B168,""'export'!b1""))")," ")</f>
        <v> </v>
      </c>
      <c r="H168" s="23" t="str">
        <f>IFERROR(__xludf.DUMMYFUNCTION("IF(B168="""","" "",IMPORTRANGE(B168,""'export'!c1""))")," ")</f>
        <v> </v>
      </c>
      <c r="I168" s="24" t="str">
        <f>IFERROR(__xludf.DUMMYFUNCTION("IF(B168="""","" "",IMPORTRANGE(B168,""'export'!d1""))")," ")</f>
        <v> </v>
      </c>
      <c r="J168" s="25" t="str">
        <f>IFERROR(__xludf.DUMMYFUNCTION("IF(B168="""","" "",IMPORTRANGE(B168,""'export'!e1""))")," ")</f>
        <v> </v>
      </c>
      <c r="K168" s="25"/>
      <c r="L168" s="21" t="str">
        <f>IFERROR(__xludf.DUMMYFUNCTION("IF(B168="""","" "",IMPORTRANGE(B168,""'export'!f1""))")," ")</f>
        <v> </v>
      </c>
      <c r="M168" s="26" t="str">
        <f>IFERROR(__xludf.DUMMYFUNCTION("IF(B168="""","" "",IMPORTRANGE(B168,""'export'!h3""))")," ")</f>
        <v> </v>
      </c>
      <c r="N168" s="27" t="str">
        <f>IFERROR(__xludf.DUMMYFUNCTION("IF(B168="""","" "",IMPORTRANGE(B168,""'export'!h1""))")," ")</f>
        <v> </v>
      </c>
      <c r="O168" s="28" t="str">
        <f>IFERROR(__xludf.DUMMYFUNCTION("IF(B168="""","" "",IMPORTRANGE(B168,""'export'!h11""))")," ")</f>
        <v> </v>
      </c>
      <c r="P168" s="29" t="str">
        <f>IFERROR(__xludf.DUMMYFUNCTION("IF(B168="""","" "",IMPORTRANGE(B168,""'export'!i1""))")," ")</f>
        <v> </v>
      </c>
      <c r="Q168" s="30" t="str">
        <f>IFERROR(__xludf.DUMMYFUNCTION("IF(B168="""","" "",IMPORTRANGE(B168,""'export'!i13""))")," ")</f>
        <v> </v>
      </c>
      <c r="R168" s="31" t="str">
        <f t="shared" si="2"/>
        <v/>
      </c>
      <c r="S168" s="32" t="str">
        <f>IFERROR(__xludf.DUMMYFUNCTION("IF(B168="""","" "",IMPORTRANGE(B168,""'export'!g1""))")," ")</f>
        <v> </v>
      </c>
    </row>
    <row r="169">
      <c r="A169" s="18"/>
      <c r="B169" s="35"/>
      <c r="C169" s="20" t="str">
        <f>IFERROR(__xludf.DUMMYFUNCTION("IF(B169="""","" "",IMPORTRANGE(B169,""'Export'!m1""))")," ")</f>
        <v> </v>
      </c>
      <c r="D169" s="21" t="str">
        <f t="shared" si="1"/>
        <v> ,  ,  </v>
      </c>
      <c r="E169" s="22" t="str">
        <f>IFERROR(__xludf.DUMMYFUNCTION("IF(B169="""","" "",IMPORTRANGE(B169,""'EXPORT'!L1""))")," ")</f>
        <v> </v>
      </c>
      <c r="F169" s="23" t="str">
        <f>IFERROR(__xludf.DUMMYFUNCTION("IF(B169="""","" "",IMPORTRANGE(B169,""'Export'!a1""))")," ")</f>
        <v> </v>
      </c>
      <c r="G169" s="23" t="str">
        <f>IFERROR(__xludf.DUMMYFUNCTION("IF(B169="""","" "",IMPORTRANGE(B169,""'export'!b1""))")," ")</f>
        <v> </v>
      </c>
      <c r="H169" s="23" t="str">
        <f>IFERROR(__xludf.DUMMYFUNCTION("IF(B169="""","" "",IMPORTRANGE(B169,""'export'!c1""))")," ")</f>
        <v> </v>
      </c>
      <c r="I169" s="24" t="str">
        <f>IFERROR(__xludf.DUMMYFUNCTION("IF(B169="""","" "",IMPORTRANGE(B169,""'export'!d1""))")," ")</f>
        <v> </v>
      </c>
      <c r="J169" s="25" t="str">
        <f>IFERROR(__xludf.DUMMYFUNCTION("IF(B169="""","" "",IMPORTRANGE(B169,""'export'!e1""))")," ")</f>
        <v> </v>
      </c>
      <c r="K169" s="25"/>
      <c r="L169" s="21" t="str">
        <f>IFERROR(__xludf.DUMMYFUNCTION("IF(B169="""","" "",IMPORTRANGE(B169,""'export'!f1""))")," ")</f>
        <v> </v>
      </c>
      <c r="M169" s="26" t="str">
        <f>IFERROR(__xludf.DUMMYFUNCTION("IF(B169="""","" "",IMPORTRANGE(B169,""'export'!h3""))")," ")</f>
        <v> </v>
      </c>
      <c r="N169" s="27" t="str">
        <f>IFERROR(__xludf.DUMMYFUNCTION("IF(B169="""","" "",IMPORTRANGE(B169,""'export'!h1""))")," ")</f>
        <v> </v>
      </c>
      <c r="O169" s="28" t="str">
        <f>IFERROR(__xludf.DUMMYFUNCTION("IF(B169="""","" "",IMPORTRANGE(B169,""'export'!h11""))")," ")</f>
        <v> </v>
      </c>
      <c r="P169" s="29" t="str">
        <f>IFERROR(__xludf.DUMMYFUNCTION("IF(B169="""","" "",IMPORTRANGE(B169,""'export'!i1""))")," ")</f>
        <v> </v>
      </c>
      <c r="Q169" s="30" t="str">
        <f>IFERROR(__xludf.DUMMYFUNCTION("IF(B169="""","" "",IMPORTRANGE(B169,""'export'!i13""))")," ")</f>
        <v> </v>
      </c>
      <c r="R169" s="31" t="str">
        <f t="shared" si="2"/>
        <v/>
      </c>
      <c r="S169" s="32" t="str">
        <f>IFERROR(__xludf.DUMMYFUNCTION("IF(B169="""","" "",IMPORTRANGE(B169,""'export'!g1""))")," ")</f>
        <v> </v>
      </c>
    </row>
    <row r="170">
      <c r="A170" s="18"/>
      <c r="B170" s="35"/>
      <c r="C170" s="20" t="str">
        <f>IFERROR(__xludf.DUMMYFUNCTION("IF(B170="""","" "",IMPORTRANGE(B170,""'Export'!m1""))")," ")</f>
        <v> </v>
      </c>
      <c r="D170" s="21" t="str">
        <f t="shared" si="1"/>
        <v> ,  ,  </v>
      </c>
      <c r="E170" s="22" t="str">
        <f>IFERROR(__xludf.DUMMYFUNCTION("IF(B170="""","" "",IMPORTRANGE(B170,""'EXPORT'!L1""))")," ")</f>
        <v> </v>
      </c>
      <c r="F170" s="23" t="str">
        <f>IFERROR(__xludf.DUMMYFUNCTION("IF(B170="""","" "",IMPORTRANGE(B170,""'Export'!a1""))")," ")</f>
        <v> </v>
      </c>
      <c r="G170" s="23" t="str">
        <f>IFERROR(__xludf.DUMMYFUNCTION("IF(B170="""","" "",IMPORTRANGE(B170,""'export'!b1""))")," ")</f>
        <v> </v>
      </c>
      <c r="H170" s="23" t="str">
        <f>IFERROR(__xludf.DUMMYFUNCTION("IF(B170="""","" "",IMPORTRANGE(B170,""'export'!c1""))")," ")</f>
        <v> </v>
      </c>
      <c r="I170" s="24" t="str">
        <f>IFERROR(__xludf.DUMMYFUNCTION("IF(B170="""","" "",IMPORTRANGE(B170,""'export'!d1""))")," ")</f>
        <v> </v>
      </c>
      <c r="J170" s="25" t="str">
        <f>IFERROR(__xludf.DUMMYFUNCTION("IF(B170="""","" "",IMPORTRANGE(B170,""'export'!e1""))")," ")</f>
        <v> </v>
      </c>
      <c r="K170" s="25"/>
      <c r="L170" s="21" t="str">
        <f>IFERROR(__xludf.DUMMYFUNCTION("IF(B170="""","" "",IMPORTRANGE(B170,""'export'!f1""))")," ")</f>
        <v> </v>
      </c>
      <c r="M170" s="26" t="str">
        <f>IFERROR(__xludf.DUMMYFUNCTION("IF(B170="""","" "",IMPORTRANGE(B170,""'export'!h3""))")," ")</f>
        <v> </v>
      </c>
      <c r="N170" s="27" t="str">
        <f>IFERROR(__xludf.DUMMYFUNCTION("IF(B170="""","" "",IMPORTRANGE(B170,""'export'!h1""))")," ")</f>
        <v> </v>
      </c>
      <c r="O170" s="28" t="str">
        <f>IFERROR(__xludf.DUMMYFUNCTION("IF(B170="""","" "",IMPORTRANGE(B170,""'export'!h11""))")," ")</f>
        <v> </v>
      </c>
      <c r="P170" s="29" t="str">
        <f>IFERROR(__xludf.DUMMYFUNCTION("IF(B170="""","" "",IMPORTRANGE(B170,""'export'!i1""))")," ")</f>
        <v> </v>
      </c>
      <c r="Q170" s="30" t="str">
        <f>IFERROR(__xludf.DUMMYFUNCTION("IF(B170="""","" "",IMPORTRANGE(B170,""'export'!i13""))")," ")</f>
        <v> </v>
      </c>
      <c r="R170" s="31" t="str">
        <f t="shared" si="2"/>
        <v/>
      </c>
      <c r="S170" s="32" t="str">
        <f>IFERROR(__xludf.DUMMYFUNCTION("IF(B170="""","" "",IMPORTRANGE(B170,""'export'!g1""))")," ")</f>
        <v> </v>
      </c>
    </row>
    <row r="171">
      <c r="A171" s="18"/>
      <c r="B171" s="35"/>
      <c r="C171" s="20" t="str">
        <f>IFERROR(__xludf.DUMMYFUNCTION("IF(B171="""","" "",IMPORTRANGE(B171,""'Export'!m1""))")," ")</f>
        <v> </v>
      </c>
      <c r="D171" s="21" t="str">
        <f t="shared" si="1"/>
        <v> ,  ,  </v>
      </c>
      <c r="E171" s="22" t="str">
        <f>IFERROR(__xludf.DUMMYFUNCTION("IF(B171="""","" "",IMPORTRANGE(B171,""'EXPORT'!L1""))")," ")</f>
        <v> </v>
      </c>
      <c r="F171" s="23" t="str">
        <f>IFERROR(__xludf.DUMMYFUNCTION("IF(B171="""","" "",IMPORTRANGE(B171,""'Export'!a1""))")," ")</f>
        <v> </v>
      </c>
      <c r="G171" s="23" t="str">
        <f>IFERROR(__xludf.DUMMYFUNCTION("IF(B171="""","" "",IMPORTRANGE(B171,""'export'!b1""))")," ")</f>
        <v> </v>
      </c>
      <c r="H171" s="23" t="str">
        <f>IFERROR(__xludf.DUMMYFUNCTION("IF(B171="""","" "",IMPORTRANGE(B171,""'export'!c1""))")," ")</f>
        <v> </v>
      </c>
      <c r="I171" s="24" t="str">
        <f>IFERROR(__xludf.DUMMYFUNCTION("IF(B171="""","" "",IMPORTRANGE(B171,""'export'!d1""))")," ")</f>
        <v> </v>
      </c>
      <c r="J171" s="25" t="str">
        <f>IFERROR(__xludf.DUMMYFUNCTION("IF(B171="""","" "",IMPORTRANGE(B171,""'export'!e1""))")," ")</f>
        <v> </v>
      </c>
      <c r="K171" s="25"/>
      <c r="L171" s="21" t="str">
        <f>IFERROR(__xludf.DUMMYFUNCTION("IF(B171="""","" "",IMPORTRANGE(B171,""'export'!f1""))")," ")</f>
        <v> </v>
      </c>
      <c r="M171" s="26" t="str">
        <f>IFERROR(__xludf.DUMMYFUNCTION("IF(B171="""","" "",IMPORTRANGE(B171,""'export'!h3""))")," ")</f>
        <v> </v>
      </c>
      <c r="N171" s="27" t="str">
        <f>IFERROR(__xludf.DUMMYFUNCTION("IF(B171="""","" "",IMPORTRANGE(B171,""'export'!h1""))")," ")</f>
        <v> </v>
      </c>
      <c r="O171" s="28" t="str">
        <f>IFERROR(__xludf.DUMMYFUNCTION("IF(B171="""","" "",IMPORTRANGE(B171,""'export'!h11""))")," ")</f>
        <v> </v>
      </c>
      <c r="P171" s="29" t="str">
        <f>IFERROR(__xludf.DUMMYFUNCTION("IF(B171="""","" "",IMPORTRANGE(B171,""'export'!i1""))")," ")</f>
        <v> </v>
      </c>
      <c r="Q171" s="30" t="str">
        <f>IFERROR(__xludf.DUMMYFUNCTION("IF(B171="""","" "",IMPORTRANGE(B171,""'export'!i13""))")," ")</f>
        <v> </v>
      </c>
      <c r="R171" s="31" t="str">
        <f t="shared" si="2"/>
        <v/>
      </c>
      <c r="S171" s="32" t="str">
        <f>IFERROR(__xludf.DUMMYFUNCTION("IF(B171="""","" "",IMPORTRANGE(B171,""'export'!g1""))")," ")</f>
        <v> </v>
      </c>
    </row>
    <row r="172">
      <c r="A172" s="18"/>
      <c r="B172" s="35"/>
      <c r="C172" s="20" t="str">
        <f>IFERROR(__xludf.DUMMYFUNCTION("IF(B172="""","" "",IMPORTRANGE(B172,""'Export'!m1""))")," ")</f>
        <v> </v>
      </c>
      <c r="D172" s="21" t="str">
        <f t="shared" si="1"/>
        <v> ,  ,  </v>
      </c>
      <c r="E172" s="22" t="str">
        <f>IFERROR(__xludf.DUMMYFUNCTION("IF(B172="""","" "",IMPORTRANGE(B172,""'EXPORT'!L1""))")," ")</f>
        <v> </v>
      </c>
      <c r="F172" s="23" t="str">
        <f>IFERROR(__xludf.DUMMYFUNCTION("IF(B172="""","" "",IMPORTRANGE(B172,""'Export'!a1""))")," ")</f>
        <v> </v>
      </c>
      <c r="G172" s="23" t="str">
        <f>IFERROR(__xludf.DUMMYFUNCTION("IF(B172="""","" "",IMPORTRANGE(B172,""'export'!b1""))")," ")</f>
        <v> </v>
      </c>
      <c r="H172" s="23" t="str">
        <f>IFERROR(__xludf.DUMMYFUNCTION("IF(B172="""","" "",IMPORTRANGE(B172,""'export'!c1""))")," ")</f>
        <v> </v>
      </c>
      <c r="I172" s="24" t="str">
        <f>IFERROR(__xludf.DUMMYFUNCTION("IF(B172="""","" "",IMPORTRANGE(B172,""'export'!d1""))")," ")</f>
        <v> </v>
      </c>
      <c r="J172" s="25" t="str">
        <f>IFERROR(__xludf.DUMMYFUNCTION("IF(B172="""","" "",IMPORTRANGE(B172,""'export'!e1""))")," ")</f>
        <v> </v>
      </c>
      <c r="K172" s="25"/>
      <c r="L172" s="21" t="str">
        <f>IFERROR(__xludf.DUMMYFUNCTION("IF(B172="""","" "",IMPORTRANGE(B172,""'export'!f1""))")," ")</f>
        <v> </v>
      </c>
      <c r="M172" s="26" t="str">
        <f>IFERROR(__xludf.DUMMYFUNCTION("IF(B172="""","" "",IMPORTRANGE(B172,""'export'!h3""))")," ")</f>
        <v> </v>
      </c>
      <c r="N172" s="27" t="str">
        <f>IFERROR(__xludf.DUMMYFUNCTION("IF(B172="""","" "",IMPORTRANGE(B172,""'export'!h1""))")," ")</f>
        <v> </v>
      </c>
      <c r="O172" s="28" t="str">
        <f>IFERROR(__xludf.DUMMYFUNCTION("IF(B172="""","" "",IMPORTRANGE(B172,""'export'!h11""))")," ")</f>
        <v> </v>
      </c>
      <c r="P172" s="29" t="str">
        <f>IFERROR(__xludf.DUMMYFUNCTION("IF(B172="""","" "",IMPORTRANGE(B172,""'export'!i1""))")," ")</f>
        <v> </v>
      </c>
      <c r="Q172" s="30" t="str">
        <f>IFERROR(__xludf.DUMMYFUNCTION("IF(B172="""","" "",IMPORTRANGE(B172,""'export'!i13""))")," ")</f>
        <v> </v>
      </c>
      <c r="R172" s="31" t="str">
        <f t="shared" si="2"/>
        <v/>
      </c>
      <c r="S172" s="32" t="str">
        <f>IFERROR(__xludf.DUMMYFUNCTION("IF(B172="""","" "",IMPORTRANGE(B172,""'export'!g1""))")," ")</f>
        <v> </v>
      </c>
    </row>
    <row r="173">
      <c r="A173" s="18"/>
      <c r="B173" s="35"/>
      <c r="C173" s="20" t="str">
        <f>IFERROR(__xludf.DUMMYFUNCTION("IF(B173="""","" "",IMPORTRANGE(B173,""'Export'!m1""))")," ")</f>
        <v> </v>
      </c>
      <c r="D173" s="21" t="str">
        <f t="shared" si="1"/>
        <v> ,  ,  </v>
      </c>
      <c r="E173" s="22" t="str">
        <f>IFERROR(__xludf.DUMMYFUNCTION("IF(B173="""","" "",IMPORTRANGE(B173,""'EXPORT'!L1""))")," ")</f>
        <v> </v>
      </c>
      <c r="F173" s="23" t="str">
        <f>IFERROR(__xludf.DUMMYFUNCTION("IF(B173="""","" "",IMPORTRANGE(B173,""'Export'!a1""))")," ")</f>
        <v> </v>
      </c>
      <c r="G173" s="23" t="str">
        <f>IFERROR(__xludf.DUMMYFUNCTION("IF(B173="""","" "",IMPORTRANGE(B173,""'export'!b1""))")," ")</f>
        <v> </v>
      </c>
      <c r="H173" s="23" t="str">
        <f>IFERROR(__xludf.DUMMYFUNCTION("IF(B173="""","" "",IMPORTRANGE(B173,""'export'!c1""))")," ")</f>
        <v> </v>
      </c>
      <c r="I173" s="24" t="str">
        <f>IFERROR(__xludf.DUMMYFUNCTION("IF(B173="""","" "",IMPORTRANGE(B173,""'export'!d1""))")," ")</f>
        <v> </v>
      </c>
      <c r="J173" s="25" t="str">
        <f>IFERROR(__xludf.DUMMYFUNCTION("IF(B173="""","" "",IMPORTRANGE(B173,""'export'!e1""))")," ")</f>
        <v> </v>
      </c>
      <c r="K173" s="25"/>
      <c r="L173" s="21" t="str">
        <f>IFERROR(__xludf.DUMMYFUNCTION("IF(B173="""","" "",IMPORTRANGE(B173,""'export'!f1""))")," ")</f>
        <v> </v>
      </c>
      <c r="M173" s="26" t="str">
        <f>IFERROR(__xludf.DUMMYFUNCTION("IF(B173="""","" "",IMPORTRANGE(B173,""'export'!h3""))")," ")</f>
        <v> </v>
      </c>
      <c r="N173" s="27" t="str">
        <f>IFERROR(__xludf.DUMMYFUNCTION("IF(B173="""","" "",IMPORTRANGE(B173,""'export'!h1""))")," ")</f>
        <v> </v>
      </c>
      <c r="O173" s="28" t="str">
        <f>IFERROR(__xludf.DUMMYFUNCTION("IF(B173="""","" "",IMPORTRANGE(B173,""'export'!h11""))")," ")</f>
        <v> </v>
      </c>
      <c r="P173" s="29" t="str">
        <f>IFERROR(__xludf.DUMMYFUNCTION("IF(B173="""","" "",IMPORTRANGE(B173,""'export'!i1""))")," ")</f>
        <v> </v>
      </c>
      <c r="Q173" s="30" t="str">
        <f>IFERROR(__xludf.DUMMYFUNCTION("IF(B173="""","" "",IMPORTRANGE(B173,""'export'!i13""))")," ")</f>
        <v> </v>
      </c>
      <c r="R173" s="31" t="str">
        <f t="shared" si="2"/>
        <v/>
      </c>
      <c r="S173" s="32" t="str">
        <f>IFERROR(__xludf.DUMMYFUNCTION("IF(B173="""","" "",IMPORTRANGE(B173,""'export'!g1""))")," ")</f>
        <v> </v>
      </c>
    </row>
    <row r="174">
      <c r="A174" s="18"/>
      <c r="B174" s="35"/>
      <c r="C174" s="20" t="str">
        <f>IFERROR(__xludf.DUMMYFUNCTION("IF(B174="""","" "",IMPORTRANGE(B174,""'Export'!m1""))")," ")</f>
        <v> </v>
      </c>
      <c r="D174" s="21" t="str">
        <f t="shared" si="1"/>
        <v> ,  ,  </v>
      </c>
      <c r="E174" s="22" t="str">
        <f>IFERROR(__xludf.DUMMYFUNCTION("IF(B174="""","" "",IMPORTRANGE(B174,""'EXPORT'!L1""))")," ")</f>
        <v> </v>
      </c>
      <c r="F174" s="23" t="str">
        <f>IFERROR(__xludf.DUMMYFUNCTION("IF(B174="""","" "",IMPORTRANGE(B174,""'Export'!a1""))")," ")</f>
        <v> </v>
      </c>
      <c r="G174" s="23" t="str">
        <f>IFERROR(__xludf.DUMMYFUNCTION("IF(B174="""","" "",IMPORTRANGE(B174,""'export'!b1""))")," ")</f>
        <v> </v>
      </c>
      <c r="H174" s="23" t="str">
        <f>IFERROR(__xludf.DUMMYFUNCTION("IF(B174="""","" "",IMPORTRANGE(B174,""'export'!c1""))")," ")</f>
        <v> </v>
      </c>
      <c r="I174" s="24" t="str">
        <f>IFERROR(__xludf.DUMMYFUNCTION("IF(B174="""","" "",IMPORTRANGE(B174,""'export'!d1""))")," ")</f>
        <v> </v>
      </c>
      <c r="J174" s="25" t="str">
        <f>IFERROR(__xludf.DUMMYFUNCTION("IF(B174="""","" "",IMPORTRANGE(B174,""'export'!e1""))")," ")</f>
        <v> </v>
      </c>
      <c r="K174" s="25"/>
      <c r="L174" s="21" t="str">
        <f>IFERROR(__xludf.DUMMYFUNCTION("IF(B174="""","" "",IMPORTRANGE(B174,""'export'!f1""))")," ")</f>
        <v> </v>
      </c>
      <c r="M174" s="26" t="str">
        <f>IFERROR(__xludf.DUMMYFUNCTION("IF(B174="""","" "",IMPORTRANGE(B174,""'export'!h3""))")," ")</f>
        <v> </v>
      </c>
      <c r="N174" s="27" t="str">
        <f>IFERROR(__xludf.DUMMYFUNCTION("IF(B174="""","" "",IMPORTRANGE(B174,""'export'!h1""))")," ")</f>
        <v> </v>
      </c>
      <c r="O174" s="28" t="str">
        <f>IFERROR(__xludf.DUMMYFUNCTION("IF(B174="""","" "",IMPORTRANGE(B174,""'export'!h11""))")," ")</f>
        <v> </v>
      </c>
      <c r="P174" s="29" t="str">
        <f>IFERROR(__xludf.DUMMYFUNCTION("IF(B174="""","" "",IMPORTRANGE(B174,""'export'!i1""))")," ")</f>
        <v> </v>
      </c>
      <c r="Q174" s="30" t="str">
        <f>IFERROR(__xludf.DUMMYFUNCTION("IF(B174="""","" "",IMPORTRANGE(B174,""'export'!i13""))")," ")</f>
        <v> </v>
      </c>
      <c r="R174" s="31" t="str">
        <f t="shared" si="2"/>
        <v/>
      </c>
      <c r="S174" s="32" t="str">
        <f>IFERROR(__xludf.DUMMYFUNCTION("IF(B174="""","" "",IMPORTRANGE(B174,""'export'!g1""))")," ")</f>
        <v> </v>
      </c>
    </row>
    <row r="175">
      <c r="A175" s="18"/>
      <c r="B175" s="35"/>
      <c r="C175" s="20" t="str">
        <f>IFERROR(__xludf.DUMMYFUNCTION("IF(B175="""","" "",IMPORTRANGE(B175,""'Export'!m1""))")," ")</f>
        <v> </v>
      </c>
      <c r="D175" s="21" t="str">
        <f t="shared" si="1"/>
        <v> ,  ,  </v>
      </c>
      <c r="E175" s="22" t="str">
        <f>IFERROR(__xludf.DUMMYFUNCTION("IF(B175="""","" "",IMPORTRANGE(B175,""'EXPORT'!L1""))")," ")</f>
        <v> </v>
      </c>
      <c r="F175" s="23" t="str">
        <f>IFERROR(__xludf.DUMMYFUNCTION("IF(B175="""","" "",IMPORTRANGE(B175,""'Export'!a1""))")," ")</f>
        <v> </v>
      </c>
      <c r="G175" s="23" t="str">
        <f>IFERROR(__xludf.DUMMYFUNCTION("IF(B175="""","" "",IMPORTRANGE(B175,""'export'!b1""))")," ")</f>
        <v> </v>
      </c>
      <c r="H175" s="23" t="str">
        <f>IFERROR(__xludf.DUMMYFUNCTION("IF(B175="""","" "",IMPORTRANGE(B175,""'export'!c1""))")," ")</f>
        <v> </v>
      </c>
      <c r="I175" s="24" t="str">
        <f>IFERROR(__xludf.DUMMYFUNCTION("IF(B175="""","" "",IMPORTRANGE(B175,""'export'!d1""))")," ")</f>
        <v> </v>
      </c>
      <c r="J175" s="25" t="str">
        <f>IFERROR(__xludf.DUMMYFUNCTION("IF(B175="""","" "",IMPORTRANGE(B175,""'export'!e1""))")," ")</f>
        <v> </v>
      </c>
      <c r="K175" s="25"/>
      <c r="L175" s="21" t="str">
        <f>IFERROR(__xludf.DUMMYFUNCTION("IF(B175="""","" "",IMPORTRANGE(B175,""'export'!f1""))")," ")</f>
        <v> </v>
      </c>
      <c r="M175" s="26" t="str">
        <f>IFERROR(__xludf.DUMMYFUNCTION("IF(B175="""","" "",IMPORTRANGE(B175,""'export'!h3""))")," ")</f>
        <v> </v>
      </c>
      <c r="N175" s="27" t="str">
        <f>IFERROR(__xludf.DUMMYFUNCTION("IF(B175="""","" "",IMPORTRANGE(B175,""'export'!h1""))")," ")</f>
        <v> </v>
      </c>
      <c r="O175" s="28" t="str">
        <f>IFERROR(__xludf.DUMMYFUNCTION("IF(B175="""","" "",IMPORTRANGE(B175,""'export'!h11""))")," ")</f>
        <v> </v>
      </c>
      <c r="P175" s="29" t="str">
        <f>IFERROR(__xludf.DUMMYFUNCTION("IF(B175="""","" "",IMPORTRANGE(B175,""'export'!i1""))")," ")</f>
        <v> </v>
      </c>
      <c r="Q175" s="30" t="str">
        <f>IFERROR(__xludf.DUMMYFUNCTION("IF(B175="""","" "",IMPORTRANGE(B175,""'export'!i13""))")," ")</f>
        <v> </v>
      </c>
      <c r="R175" s="31" t="str">
        <f t="shared" si="2"/>
        <v/>
      </c>
      <c r="S175" s="32" t="str">
        <f>IFERROR(__xludf.DUMMYFUNCTION("IF(B175="""","" "",IMPORTRANGE(B175,""'export'!g1""))")," ")</f>
        <v> </v>
      </c>
    </row>
    <row r="176">
      <c r="A176" s="18"/>
      <c r="B176" s="35"/>
      <c r="C176" s="20" t="str">
        <f>IFERROR(__xludf.DUMMYFUNCTION("IF(B176="""","" "",IMPORTRANGE(B176,""'Export'!m1""))")," ")</f>
        <v> </v>
      </c>
      <c r="D176" s="21" t="str">
        <f t="shared" si="1"/>
        <v> ,  ,  </v>
      </c>
      <c r="E176" s="22" t="str">
        <f>IFERROR(__xludf.DUMMYFUNCTION("IF(B176="""","" "",IMPORTRANGE(B176,""'EXPORT'!L1""))")," ")</f>
        <v> </v>
      </c>
      <c r="F176" s="23" t="str">
        <f>IFERROR(__xludf.DUMMYFUNCTION("IF(B176="""","" "",IMPORTRANGE(B176,""'Export'!a1""))")," ")</f>
        <v> </v>
      </c>
      <c r="G176" s="23" t="str">
        <f>IFERROR(__xludf.DUMMYFUNCTION("IF(B176="""","" "",IMPORTRANGE(B176,""'export'!b1""))")," ")</f>
        <v> </v>
      </c>
      <c r="H176" s="23" t="str">
        <f>IFERROR(__xludf.DUMMYFUNCTION("IF(B176="""","" "",IMPORTRANGE(B176,""'export'!c1""))")," ")</f>
        <v> </v>
      </c>
      <c r="I176" s="24" t="str">
        <f>IFERROR(__xludf.DUMMYFUNCTION("IF(B176="""","" "",IMPORTRANGE(B176,""'export'!d1""))")," ")</f>
        <v> </v>
      </c>
      <c r="J176" s="25" t="str">
        <f>IFERROR(__xludf.DUMMYFUNCTION("IF(B176="""","" "",IMPORTRANGE(B176,""'export'!e1""))")," ")</f>
        <v> </v>
      </c>
      <c r="K176" s="25"/>
      <c r="L176" s="21" t="str">
        <f>IFERROR(__xludf.DUMMYFUNCTION("IF(B176="""","" "",IMPORTRANGE(B176,""'export'!f1""))")," ")</f>
        <v> </v>
      </c>
      <c r="M176" s="26" t="str">
        <f>IFERROR(__xludf.DUMMYFUNCTION("IF(B176="""","" "",IMPORTRANGE(B176,""'export'!h3""))")," ")</f>
        <v> </v>
      </c>
      <c r="N176" s="27" t="str">
        <f>IFERROR(__xludf.DUMMYFUNCTION("IF(B176="""","" "",IMPORTRANGE(B176,""'export'!h1""))")," ")</f>
        <v> </v>
      </c>
      <c r="O176" s="28" t="str">
        <f>IFERROR(__xludf.DUMMYFUNCTION("IF(B176="""","" "",IMPORTRANGE(B176,""'export'!h11""))")," ")</f>
        <v> </v>
      </c>
      <c r="P176" s="29" t="str">
        <f>IFERROR(__xludf.DUMMYFUNCTION("IF(B176="""","" "",IMPORTRANGE(B176,""'export'!i1""))")," ")</f>
        <v> </v>
      </c>
      <c r="Q176" s="30" t="str">
        <f>IFERROR(__xludf.DUMMYFUNCTION("IF(B176="""","" "",IMPORTRANGE(B176,""'export'!i13""))")," ")</f>
        <v> </v>
      </c>
      <c r="R176" s="31" t="str">
        <f t="shared" si="2"/>
        <v/>
      </c>
      <c r="S176" s="32" t="str">
        <f>IFERROR(__xludf.DUMMYFUNCTION("IF(B176="""","" "",IMPORTRANGE(B176,""'export'!g1""))")," ")</f>
        <v> </v>
      </c>
    </row>
    <row r="177">
      <c r="A177" s="18"/>
      <c r="B177" s="35"/>
      <c r="C177" s="20" t="str">
        <f>IFERROR(__xludf.DUMMYFUNCTION("IF(B177="""","" "",IMPORTRANGE(B177,""'Export'!m1""))")," ")</f>
        <v> </v>
      </c>
      <c r="D177" s="21" t="str">
        <f t="shared" si="1"/>
        <v> ,  ,  </v>
      </c>
      <c r="E177" s="22" t="str">
        <f>IFERROR(__xludf.DUMMYFUNCTION("IF(B177="""","" "",IMPORTRANGE(B177,""'EXPORT'!L1""))")," ")</f>
        <v> </v>
      </c>
      <c r="F177" s="23" t="str">
        <f>IFERROR(__xludf.DUMMYFUNCTION("IF(B177="""","" "",IMPORTRANGE(B177,""'Export'!a1""))")," ")</f>
        <v> </v>
      </c>
      <c r="G177" s="23" t="str">
        <f>IFERROR(__xludf.DUMMYFUNCTION("IF(B177="""","" "",IMPORTRANGE(B177,""'export'!b1""))")," ")</f>
        <v> </v>
      </c>
      <c r="H177" s="23" t="str">
        <f>IFERROR(__xludf.DUMMYFUNCTION("IF(B177="""","" "",IMPORTRANGE(B177,""'export'!c1""))")," ")</f>
        <v> </v>
      </c>
      <c r="I177" s="24" t="str">
        <f>IFERROR(__xludf.DUMMYFUNCTION("IF(B177="""","" "",IMPORTRANGE(B177,""'export'!d1""))")," ")</f>
        <v> </v>
      </c>
      <c r="J177" s="25" t="str">
        <f>IFERROR(__xludf.DUMMYFUNCTION("IF(B177="""","" "",IMPORTRANGE(B177,""'export'!e1""))")," ")</f>
        <v> </v>
      </c>
      <c r="K177" s="25"/>
      <c r="L177" s="21" t="str">
        <f>IFERROR(__xludf.DUMMYFUNCTION("IF(B177="""","" "",IMPORTRANGE(B177,""'export'!f1""))")," ")</f>
        <v> </v>
      </c>
      <c r="M177" s="26" t="str">
        <f>IFERROR(__xludf.DUMMYFUNCTION("IF(B177="""","" "",IMPORTRANGE(B177,""'export'!h3""))")," ")</f>
        <v> </v>
      </c>
      <c r="N177" s="27" t="str">
        <f>IFERROR(__xludf.DUMMYFUNCTION("IF(B177="""","" "",IMPORTRANGE(B177,""'export'!h1""))")," ")</f>
        <v> </v>
      </c>
      <c r="O177" s="28" t="str">
        <f>IFERROR(__xludf.DUMMYFUNCTION("IF(B177="""","" "",IMPORTRANGE(B177,""'export'!h11""))")," ")</f>
        <v> </v>
      </c>
      <c r="P177" s="29" t="str">
        <f>IFERROR(__xludf.DUMMYFUNCTION("IF(B177="""","" "",IMPORTRANGE(B177,""'export'!i1""))")," ")</f>
        <v> </v>
      </c>
      <c r="Q177" s="30" t="str">
        <f>IFERROR(__xludf.DUMMYFUNCTION("IF(B177="""","" "",IMPORTRANGE(B177,""'export'!i13""))")," ")</f>
        <v> </v>
      </c>
      <c r="R177" s="31" t="str">
        <f t="shared" si="2"/>
        <v/>
      </c>
      <c r="S177" s="32" t="str">
        <f>IFERROR(__xludf.DUMMYFUNCTION("IF(B177="""","" "",IMPORTRANGE(B177,""'export'!g1""))")," ")</f>
        <v> </v>
      </c>
    </row>
    <row r="178">
      <c r="A178" s="18"/>
      <c r="B178" s="35"/>
      <c r="C178" s="20" t="str">
        <f>IFERROR(__xludf.DUMMYFUNCTION("IF(B178="""","" "",IMPORTRANGE(B178,""'Export'!m1""))")," ")</f>
        <v> </v>
      </c>
      <c r="D178" s="21" t="str">
        <f t="shared" si="1"/>
        <v> ,  ,  </v>
      </c>
      <c r="E178" s="22" t="str">
        <f>IFERROR(__xludf.DUMMYFUNCTION("IF(B178="""","" "",IMPORTRANGE(B178,""'EXPORT'!L1""))")," ")</f>
        <v> </v>
      </c>
      <c r="F178" s="23" t="str">
        <f>IFERROR(__xludf.DUMMYFUNCTION("IF(B178="""","" "",IMPORTRANGE(B178,""'Export'!a1""))")," ")</f>
        <v> </v>
      </c>
      <c r="G178" s="23" t="str">
        <f>IFERROR(__xludf.DUMMYFUNCTION("IF(B178="""","" "",IMPORTRANGE(B178,""'export'!b1""))")," ")</f>
        <v> </v>
      </c>
      <c r="H178" s="23" t="str">
        <f>IFERROR(__xludf.DUMMYFUNCTION("IF(B178="""","" "",IMPORTRANGE(B178,""'export'!c1""))")," ")</f>
        <v> </v>
      </c>
      <c r="I178" s="24" t="str">
        <f>IFERROR(__xludf.DUMMYFUNCTION("IF(B178="""","" "",IMPORTRANGE(B178,""'export'!d1""))")," ")</f>
        <v> </v>
      </c>
      <c r="J178" s="25" t="str">
        <f>IFERROR(__xludf.DUMMYFUNCTION("IF(B178="""","" "",IMPORTRANGE(B178,""'export'!e1""))")," ")</f>
        <v> </v>
      </c>
      <c r="K178" s="25"/>
      <c r="L178" s="21" t="str">
        <f>IFERROR(__xludf.DUMMYFUNCTION("IF(B178="""","" "",IMPORTRANGE(B178,""'export'!f1""))")," ")</f>
        <v> </v>
      </c>
      <c r="M178" s="26" t="str">
        <f>IFERROR(__xludf.DUMMYFUNCTION("IF(B178="""","" "",IMPORTRANGE(B178,""'export'!h3""))")," ")</f>
        <v> </v>
      </c>
      <c r="N178" s="27" t="str">
        <f>IFERROR(__xludf.DUMMYFUNCTION("IF(B178="""","" "",IMPORTRANGE(B178,""'export'!h1""))")," ")</f>
        <v> </v>
      </c>
      <c r="O178" s="28" t="str">
        <f>IFERROR(__xludf.DUMMYFUNCTION("IF(B178="""","" "",IMPORTRANGE(B178,""'export'!h11""))")," ")</f>
        <v> </v>
      </c>
      <c r="P178" s="29" t="str">
        <f>IFERROR(__xludf.DUMMYFUNCTION("IF(B178="""","" "",IMPORTRANGE(B178,""'export'!i1""))")," ")</f>
        <v> </v>
      </c>
      <c r="Q178" s="30" t="str">
        <f>IFERROR(__xludf.DUMMYFUNCTION("IF(B178="""","" "",IMPORTRANGE(B178,""'export'!i13""))")," ")</f>
        <v> </v>
      </c>
      <c r="R178" s="31" t="str">
        <f t="shared" si="2"/>
        <v/>
      </c>
      <c r="S178" s="32" t="str">
        <f>IFERROR(__xludf.DUMMYFUNCTION("IF(B178="""","" "",IMPORTRANGE(B178,""'export'!g1""))")," ")</f>
        <v> </v>
      </c>
    </row>
    <row r="179">
      <c r="A179" s="18"/>
      <c r="B179" s="35"/>
      <c r="C179" s="20" t="str">
        <f>IFERROR(__xludf.DUMMYFUNCTION("IF(B179="""","" "",IMPORTRANGE(B179,""'Export'!m1""))")," ")</f>
        <v> </v>
      </c>
      <c r="D179" s="21" t="str">
        <f t="shared" si="1"/>
        <v> ,  ,  </v>
      </c>
      <c r="E179" s="22" t="str">
        <f>IFERROR(__xludf.DUMMYFUNCTION("IF(B179="""","" "",IMPORTRANGE(B179,""'EXPORT'!L1""))")," ")</f>
        <v> </v>
      </c>
      <c r="F179" s="23" t="str">
        <f>IFERROR(__xludf.DUMMYFUNCTION("IF(B179="""","" "",IMPORTRANGE(B179,""'Export'!a1""))")," ")</f>
        <v> </v>
      </c>
      <c r="G179" s="23" t="str">
        <f>IFERROR(__xludf.DUMMYFUNCTION("IF(B179="""","" "",IMPORTRANGE(B179,""'export'!b1""))")," ")</f>
        <v> </v>
      </c>
      <c r="H179" s="23" t="str">
        <f>IFERROR(__xludf.DUMMYFUNCTION("IF(B179="""","" "",IMPORTRANGE(B179,""'export'!c1""))")," ")</f>
        <v> </v>
      </c>
      <c r="I179" s="24" t="str">
        <f>IFERROR(__xludf.DUMMYFUNCTION("IF(B179="""","" "",IMPORTRANGE(B179,""'export'!d1""))")," ")</f>
        <v> </v>
      </c>
      <c r="J179" s="25" t="str">
        <f>IFERROR(__xludf.DUMMYFUNCTION("IF(B179="""","" "",IMPORTRANGE(B179,""'export'!e1""))")," ")</f>
        <v> </v>
      </c>
      <c r="K179" s="25"/>
      <c r="L179" s="21" t="str">
        <f>IFERROR(__xludf.DUMMYFUNCTION("IF(B179="""","" "",IMPORTRANGE(B179,""'export'!f1""))")," ")</f>
        <v> </v>
      </c>
      <c r="M179" s="26" t="str">
        <f>IFERROR(__xludf.DUMMYFUNCTION("IF(B179="""","" "",IMPORTRANGE(B179,""'export'!h3""))")," ")</f>
        <v> </v>
      </c>
      <c r="N179" s="27" t="str">
        <f>IFERROR(__xludf.DUMMYFUNCTION("IF(B179="""","" "",IMPORTRANGE(B179,""'export'!h1""))")," ")</f>
        <v> </v>
      </c>
      <c r="O179" s="28" t="str">
        <f>IFERROR(__xludf.DUMMYFUNCTION("IF(B179="""","" "",IMPORTRANGE(B179,""'export'!h11""))")," ")</f>
        <v> </v>
      </c>
      <c r="P179" s="29" t="str">
        <f>IFERROR(__xludf.DUMMYFUNCTION("IF(B179="""","" "",IMPORTRANGE(B179,""'export'!i1""))")," ")</f>
        <v> </v>
      </c>
      <c r="Q179" s="30" t="str">
        <f>IFERROR(__xludf.DUMMYFUNCTION("IF(B179="""","" "",IMPORTRANGE(B179,""'export'!i13""))")," ")</f>
        <v> </v>
      </c>
      <c r="R179" s="31" t="str">
        <f t="shared" si="2"/>
        <v/>
      </c>
      <c r="S179" s="32" t="str">
        <f>IFERROR(__xludf.DUMMYFUNCTION("IF(B179="""","" "",IMPORTRANGE(B179,""'export'!g1""))")," ")</f>
        <v> </v>
      </c>
    </row>
    <row r="180">
      <c r="A180" s="18"/>
      <c r="B180" s="35"/>
      <c r="C180" s="20" t="str">
        <f>IFERROR(__xludf.DUMMYFUNCTION("IF(B180="""","" "",IMPORTRANGE(B180,""'Export'!m1""))")," ")</f>
        <v> </v>
      </c>
      <c r="D180" s="21" t="str">
        <f t="shared" si="1"/>
        <v> ,  ,  </v>
      </c>
      <c r="E180" s="22" t="str">
        <f>IFERROR(__xludf.DUMMYFUNCTION("IF(B180="""","" "",IMPORTRANGE(B180,""'EXPORT'!L1""))")," ")</f>
        <v> </v>
      </c>
      <c r="F180" s="23" t="str">
        <f>IFERROR(__xludf.DUMMYFUNCTION("IF(B180="""","" "",IMPORTRANGE(B180,""'Export'!a1""))")," ")</f>
        <v> </v>
      </c>
      <c r="G180" s="23" t="str">
        <f>IFERROR(__xludf.DUMMYFUNCTION("IF(B180="""","" "",IMPORTRANGE(B180,""'export'!b1""))")," ")</f>
        <v> </v>
      </c>
      <c r="H180" s="23" t="str">
        <f>IFERROR(__xludf.DUMMYFUNCTION("IF(B180="""","" "",IMPORTRANGE(B180,""'export'!c1""))")," ")</f>
        <v> </v>
      </c>
      <c r="I180" s="24" t="str">
        <f>IFERROR(__xludf.DUMMYFUNCTION("IF(B180="""","" "",IMPORTRANGE(B180,""'export'!d1""))")," ")</f>
        <v> </v>
      </c>
      <c r="J180" s="25" t="str">
        <f>IFERROR(__xludf.DUMMYFUNCTION("IF(B180="""","" "",IMPORTRANGE(B180,""'export'!e1""))")," ")</f>
        <v> </v>
      </c>
      <c r="K180" s="25"/>
      <c r="L180" s="21" t="str">
        <f>IFERROR(__xludf.DUMMYFUNCTION("IF(B180="""","" "",IMPORTRANGE(B180,""'export'!f1""))")," ")</f>
        <v> </v>
      </c>
      <c r="M180" s="26" t="str">
        <f>IFERROR(__xludf.DUMMYFUNCTION("IF(B180="""","" "",IMPORTRANGE(B180,""'export'!h3""))")," ")</f>
        <v> </v>
      </c>
      <c r="N180" s="27" t="str">
        <f>IFERROR(__xludf.DUMMYFUNCTION("IF(B180="""","" "",IMPORTRANGE(B180,""'export'!h1""))")," ")</f>
        <v> </v>
      </c>
      <c r="O180" s="28" t="str">
        <f>IFERROR(__xludf.DUMMYFUNCTION("IF(B180="""","" "",IMPORTRANGE(B180,""'export'!h11""))")," ")</f>
        <v> </v>
      </c>
      <c r="P180" s="29" t="str">
        <f>IFERROR(__xludf.DUMMYFUNCTION("IF(B180="""","" "",IMPORTRANGE(B180,""'export'!i1""))")," ")</f>
        <v> </v>
      </c>
      <c r="Q180" s="30" t="str">
        <f>IFERROR(__xludf.DUMMYFUNCTION("IF(B180="""","" "",IMPORTRANGE(B180,""'export'!i13""))")," ")</f>
        <v> </v>
      </c>
      <c r="R180" s="31" t="str">
        <f t="shared" si="2"/>
        <v/>
      </c>
      <c r="S180" s="32" t="str">
        <f>IFERROR(__xludf.DUMMYFUNCTION("IF(B180="""","" "",IMPORTRANGE(B180,""'export'!g1""))")," ")</f>
        <v> </v>
      </c>
    </row>
    <row r="181">
      <c r="A181" s="18"/>
      <c r="B181" s="35"/>
      <c r="C181" s="20" t="str">
        <f>IFERROR(__xludf.DUMMYFUNCTION("IF(B181="""","" "",IMPORTRANGE(B181,""'Export'!m1""))")," ")</f>
        <v> </v>
      </c>
      <c r="D181" s="21" t="str">
        <f t="shared" si="1"/>
        <v> ,  ,  </v>
      </c>
      <c r="E181" s="22" t="str">
        <f>IFERROR(__xludf.DUMMYFUNCTION("IF(B181="""","" "",IMPORTRANGE(B181,""'EXPORT'!L1""))")," ")</f>
        <v> </v>
      </c>
      <c r="F181" s="23" t="str">
        <f>IFERROR(__xludf.DUMMYFUNCTION("IF(B181="""","" "",IMPORTRANGE(B181,""'Export'!a1""))")," ")</f>
        <v> </v>
      </c>
      <c r="G181" s="23" t="str">
        <f>IFERROR(__xludf.DUMMYFUNCTION("IF(B181="""","" "",IMPORTRANGE(B181,""'export'!b1""))")," ")</f>
        <v> </v>
      </c>
      <c r="H181" s="23" t="str">
        <f>IFERROR(__xludf.DUMMYFUNCTION("IF(B181="""","" "",IMPORTRANGE(B181,""'export'!c1""))")," ")</f>
        <v> </v>
      </c>
      <c r="I181" s="24" t="str">
        <f>IFERROR(__xludf.DUMMYFUNCTION("IF(B181="""","" "",IMPORTRANGE(B181,""'export'!d1""))")," ")</f>
        <v> </v>
      </c>
      <c r="J181" s="25" t="str">
        <f>IFERROR(__xludf.DUMMYFUNCTION("IF(B181="""","" "",IMPORTRANGE(B181,""'export'!e1""))")," ")</f>
        <v> </v>
      </c>
      <c r="K181" s="25"/>
      <c r="L181" s="21" t="str">
        <f>IFERROR(__xludf.DUMMYFUNCTION("IF(B181="""","" "",IMPORTRANGE(B181,""'export'!f1""))")," ")</f>
        <v> </v>
      </c>
      <c r="M181" s="26" t="str">
        <f>IFERROR(__xludf.DUMMYFUNCTION("IF(B181="""","" "",IMPORTRANGE(B181,""'export'!h3""))")," ")</f>
        <v> </v>
      </c>
      <c r="N181" s="27" t="str">
        <f>IFERROR(__xludf.DUMMYFUNCTION("IF(B181="""","" "",IMPORTRANGE(B181,""'export'!h1""))")," ")</f>
        <v> </v>
      </c>
      <c r="O181" s="28" t="str">
        <f>IFERROR(__xludf.DUMMYFUNCTION("IF(B181="""","" "",IMPORTRANGE(B181,""'export'!h11""))")," ")</f>
        <v> </v>
      </c>
      <c r="P181" s="29" t="str">
        <f>IFERROR(__xludf.DUMMYFUNCTION("IF(B181="""","" "",IMPORTRANGE(B181,""'export'!i1""))")," ")</f>
        <v> </v>
      </c>
      <c r="Q181" s="30" t="str">
        <f>IFERROR(__xludf.DUMMYFUNCTION("IF(B181="""","" "",IMPORTRANGE(B181,""'export'!i13""))")," ")</f>
        <v> </v>
      </c>
      <c r="R181" s="31" t="str">
        <f t="shared" si="2"/>
        <v/>
      </c>
      <c r="S181" s="32" t="str">
        <f>IFERROR(__xludf.DUMMYFUNCTION("IF(B181="""","" "",IMPORTRANGE(B181,""'export'!g1""))")," ")</f>
        <v> </v>
      </c>
    </row>
    <row r="182">
      <c r="A182" s="18"/>
      <c r="B182" s="35"/>
      <c r="C182" s="20" t="str">
        <f>IFERROR(__xludf.DUMMYFUNCTION("IF(B182="""","" "",IMPORTRANGE(B182,""'Export'!m1""))")," ")</f>
        <v> </v>
      </c>
      <c r="D182" s="21" t="str">
        <f t="shared" si="1"/>
        <v> ,  ,  </v>
      </c>
      <c r="E182" s="22" t="str">
        <f>IFERROR(__xludf.DUMMYFUNCTION("IF(B182="""","" "",IMPORTRANGE(B182,""'EXPORT'!L1""))")," ")</f>
        <v> </v>
      </c>
      <c r="F182" s="23" t="str">
        <f>IFERROR(__xludf.DUMMYFUNCTION("IF(B182="""","" "",IMPORTRANGE(B182,""'Export'!a1""))")," ")</f>
        <v> </v>
      </c>
      <c r="G182" s="23" t="str">
        <f>IFERROR(__xludf.DUMMYFUNCTION("IF(B182="""","" "",IMPORTRANGE(B182,""'export'!b1""))")," ")</f>
        <v> </v>
      </c>
      <c r="H182" s="23" t="str">
        <f>IFERROR(__xludf.DUMMYFUNCTION("IF(B182="""","" "",IMPORTRANGE(B182,""'export'!c1""))")," ")</f>
        <v> </v>
      </c>
      <c r="I182" s="24" t="str">
        <f>IFERROR(__xludf.DUMMYFUNCTION("IF(B182="""","" "",IMPORTRANGE(B182,""'export'!d1""))")," ")</f>
        <v> </v>
      </c>
      <c r="J182" s="25" t="str">
        <f>IFERROR(__xludf.DUMMYFUNCTION("IF(B182="""","" "",IMPORTRANGE(B182,""'export'!e1""))")," ")</f>
        <v> </v>
      </c>
      <c r="K182" s="25"/>
      <c r="L182" s="21" t="str">
        <f>IFERROR(__xludf.DUMMYFUNCTION("IF(B182="""","" "",IMPORTRANGE(B182,""'export'!f1""))")," ")</f>
        <v> </v>
      </c>
      <c r="M182" s="26" t="str">
        <f>IFERROR(__xludf.DUMMYFUNCTION("IF(B182="""","" "",IMPORTRANGE(B182,""'export'!h3""))")," ")</f>
        <v> </v>
      </c>
      <c r="N182" s="27" t="str">
        <f>IFERROR(__xludf.DUMMYFUNCTION("IF(B182="""","" "",IMPORTRANGE(B182,""'export'!h1""))")," ")</f>
        <v> </v>
      </c>
      <c r="O182" s="28" t="str">
        <f>IFERROR(__xludf.DUMMYFUNCTION("IF(B182="""","" "",IMPORTRANGE(B182,""'export'!h11""))")," ")</f>
        <v> </v>
      </c>
      <c r="P182" s="29" t="str">
        <f>IFERROR(__xludf.DUMMYFUNCTION("IF(B182="""","" "",IMPORTRANGE(B182,""'export'!i1""))")," ")</f>
        <v> </v>
      </c>
      <c r="Q182" s="30" t="str">
        <f>IFERROR(__xludf.DUMMYFUNCTION("IF(B182="""","" "",IMPORTRANGE(B182,""'export'!i13""))")," ")</f>
        <v> </v>
      </c>
      <c r="R182" s="31" t="str">
        <f t="shared" si="2"/>
        <v/>
      </c>
      <c r="S182" s="32" t="str">
        <f>IFERROR(__xludf.DUMMYFUNCTION("IF(B182="""","" "",IMPORTRANGE(B182,""'export'!g1""))")," ")</f>
        <v> </v>
      </c>
    </row>
    <row r="183">
      <c r="A183" s="18"/>
      <c r="B183" s="35"/>
      <c r="C183" s="20" t="str">
        <f>IFERROR(__xludf.DUMMYFUNCTION("IF(B183="""","" "",IMPORTRANGE(B183,""'Export'!m1""))")," ")</f>
        <v> </v>
      </c>
      <c r="D183" s="21" t="str">
        <f t="shared" si="1"/>
        <v> ,  ,  </v>
      </c>
      <c r="E183" s="22" t="str">
        <f>IFERROR(__xludf.DUMMYFUNCTION("IF(B183="""","" "",IMPORTRANGE(B183,""'EXPORT'!L1""))")," ")</f>
        <v> </v>
      </c>
      <c r="F183" s="23" t="str">
        <f>IFERROR(__xludf.DUMMYFUNCTION("IF(B183="""","" "",IMPORTRANGE(B183,""'Export'!a1""))")," ")</f>
        <v> </v>
      </c>
      <c r="G183" s="23" t="str">
        <f>IFERROR(__xludf.DUMMYFUNCTION("IF(B183="""","" "",IMPORTRANGE(B183,""'export'!b1""))")," ")</f>
        <v> </v>
      </c>
      <c r="H183" s="23" t="str">
        <f>IFERROR(__xludf.DUMMYFUNCTION("IF(B183="""","" "",IMPORTRANGE(B183,""'export'!c1""))")," ")</f>
        <v> </v>
      </c>
      <c r="I183" s="24" t="str">
        <f>IFERROR(__xludf.DUMMYFUNCTION("IF(B183="""","" "",IMPORTRANGE(B183,""'export'!d1""))")," ")</f>
        <v> </v>
      </c>
      <c r="J183" s="25" t="str">
        <f>IFERROR(__xludf.DUMMYFUNCTION("IF(B183="""","" "",IMPORTRANGE(B183,""'export'!e1""))")," ")</f>
        <v> </v>
      </c>
      <c r="K183" s="25"/>
      <c r="L183" s="21" t="str">
        <f>IFERROR(__xludf.DUMMYFUNCTION("IF(B183="""","" "",IMPORTRANGE(B183,""'export'!f1""))")," ")</f>
        <v> </v>
      </c>
      <c r="M183" s="26" t="str">
        <f>IFERROR(__xludf.DUMMYFUNCTION("IF(B183="""","" "",IMPORTRANGE(B183,""'export'!h3""))")," ")</f>
        <v> </v>
      </c>
      <c r="N183" s="27" t="str">
        <f>IFERROR(__xludf.DUMMYFUNCTION("IF(B183="""","" "",IMPORTRANGE(B183,""'export'!h1""))")," ")</f>
        <v> </v>
      </c>
      <c r="O183" s="28" t="str">
        <f>IFERROR(__xludf.DUMMYFUNCTION("IF(B183="""","" "",IMPORTRANGE(B183,""'export'!h11""))")," ")</f>
        <v> </v>
      </c>
      <c r="P183" s="29" t="str">
        <f>IFERROR(__xludf.DUMMYFUNCTION("IF(B183="""","" "",IMPORTRANGE(B183,""'export'!i1""))")," ")</f>
        <v> </v>
      </c>
      <c r="Q183" s="30" t="str">
        <f>IFERROR(__xludf.DUMMYFUNCTION("IF(B183="""","" "",IMPORTRANGE(B183,""'export'!i13""))")," ")</f>
        <v> </v>
      </c>
      <c r="R183" s="31" t="str">
        <f t="shared" si="2"/>
        <v/>
      </c>
      <c r="S183" s="32" t="str">
        <f>IFERROR(__xludf.DUMMYFUNCTION("IF(B183="""","" "",IMPORTRANGE(B183,""'export'!g1""))")," ")</f>
        <v> </v>
      </c>
    </row>
    <row r="184">
      <c r="A184" s="18"/>
      <c r="B184" s="35"/>
      <c r="C184" s="20" t="str">
        <f>IFERROR(__xludf.DUMMYFUNCTION("IF(B184="""","" "",IMPORTRANGE(B184,""'Export'!m1""))")," ")</f>
        <v> </v>
      </c>
      <c r="D184" s="21" t="str">
        <f t="shared" si="1"/>
        <v> ,  ,  </v>
      </c>
      <c r="E184" s="22" t="str">
        <f>IFERROR(__xludf.DUMMYFUNCTION("IF(B184="""","" "",IMPORTRANGE(B184,""'EXPORT'!L1""))")," ")</f>
        <v> </v>
      </c>
      <c r="F184" s="23" t="str">
        <f>IFERROR(__xludf.DUMMYFUNCTION("IF(B184="""","" "",IMPORTRANGE(B184,""'Export'!a1""))")," ")</f>
        <v> </v>
      </c>
      <c r="G184" s="23" t="str">
        <f>IFERROR(__xludf.DUMMYFUNCTION("IF(B184="""","" "",IMPORTRANGE(B184,""'export'!b1""))")," ")</f>
        <v> </v>
      </c>
      <c r="H184" s="23" t="str">
        <f>IFERROR(__xludf.DUMMYFUNCTION("IF(B184="""","" "",IMPORTRANGE(B184,""'export'!c1""))")," ")</f>
        <v> </v>
      </c>
      <c r="I184" s="24" t="str">
        <f>IFERROR(__xludf.DUMMYFUNCTION("IF(B184="""","" "",IMPORTRANGE(B184,""'export'!d1""))")," ")</f>
        <v> </v>
      </c>
      <c r="J184" s="25" t="str">
        <f>IFERROR(__xludf.DUMMYFUNCTION("IF(B184="""","" "",IMPORTRANGE(B184,""'export'!e1""))")," ")</f>
        <v> </v>
      </c>
      <c r="K184" s="25"/>
      <c r="L184" s="21" t="str">
        <f>IFERROR(__xludf.DUMMYFUNCTION("IF(B184="""","" "",IMPORTRANGE(B184,""'export'!f1""))")," ")</f>
        <v> </v>
      </c>
      <c r="M184" s="26" t="str">
        <f>IFERROR(__xludf.DUMMYFUNCTION("IF(B184="""","" "",IMPORTRANGE(B184,""'export'!h3""))")," ")</f>
        <v> </v>
      </c>
      <c r="N184" s="27" t="str">
        <f>IFERROR(__xludf.DUMMYFUNCTION("IF(B184="""","" "",IMPORTRANGE(B184,""'export'!h1""))")," ")</f>
        <v> </v>
      </c>
      <c r="O184" s="28" t="str">
        <f>IFERROR(__xludf.DUMMYFUNCTION("IF(B184="""","" "",IMPORTRANGE(B184,""'export'!h11""))")," ")</f>
        <v> </v>
      </c>
      <c r="P184" s="29" t="str">
        <f>IFERROR(__xludf.DUMMYFUNCTION("IF(B184="""","" "",IMPORTRANGE(B184,""'export'!i1""))")," ")</f>
        <v> </v>
      </c>
      <c r="Q184" s="30" t="str">
        <f>IFERROR(__xludf.DUMMYFUNCTION("IF(B184="""","" "",IMPORTRANGE(B184,""'export'!i13""))")," ")</f>
        <v> </v>
      </c>
      <c r="R184" s="31" t="str">
        <f t="shared" si="2"/>
        <v/>
      </c>
      <c r="S184" s="32" t="str">
        <f>IFERROR(__xludf.DUMMYFUNCTION("IF(B184="""","" "",IMPORTRANGE(B184,""'export'!g1""))")," ")</f>
        <v> </v>
      </c>
    </row>
    <row r="185">
      <c r="A185" s="18"/>
      <c r="B185" s="35"/>
      <c r="C185" s="20" t="str">
        <f>IFERROR(__xludf.DUMMYFUNCTION("IF(B185="""","" "",IMPORTRANGE(B185,""'Export'!m1""))")," ")</f>
        <v> </v>
      </c>
      <c r="D185" s="21" t="str">
        <f t="shared" si="1"/>
        <v> ,  ,  </v>
      </c>
      <c r="E185" s="22" t="str">
        <f>IFERROR(__xludf.DUMMYFUNCTION("IF(B185="""","" "",IMPORTRANGE(B185,""'EXPORT'!L1""))")," ")</f>
        <v> </v>
      </c>
      <c r="F185" s="23" t="str">
        <f>IFERROR(__xludf.DUMMYFUNCTION("IF(B185="""","" "",IMPORTRANGE(B185,""'Export'!a1""))")," ")</f>
        <v> </v>
      </c>
      <c r="G185" s="23" t="str">
        <f>IFERROR(__xludf.DUMMYFUNCTION("IF(B185="""","" "",IMPORTRANGE(B185,""'export'!b1""))")," ")</f>
        <v> </v>
      </c>
      <c r="H185" s="23" t="str">
        <f>IFERROR(__xludf.DUMMYFUNCTION("IF(B185="""","" "",IMPORTRANGE(B185,""'export'!c1""))")," ")</f>
        <v> </v>
      </c>
      <c r="I185" s="24" t="str">
        <f>IFERROR(__xludf.DUMMYFUNCTION("IF(B185="""","" "",IMPORTRANGE(B185,""'export'!d1""))")," ")</f>
        <v> </v>
      </c>
      <c r="J185" s="25" t="str">
        <f>IFERROR(__xludf.DUMMYFUNCTION("IF(B185="""","" "",IMPORTRANGE(B185,""'export'!e1""))")," ")</f>
        <v> </v>
      </c>
      <c r="K185" s="25"/>
      <c r="L185" s="21" t="str">
        <f>IFERROR(__xludf.DUMMYFUNCTION("IF(B185="""","" "",IMPORTRANGE(B185,""'export'!f1""))")," ")</f>
        <v> </v>
      </c>
      <c r="M185" s="26" t="str">
        <f>IFERROR(__xludf.DUMMYFUNCTION("IF(B185="""","" "",IMPORTRANGE(B185,""'export'!h3""))")," ")</f>
        <v> </v>
      </c>
      <c r="N185" s="27" t="str">
        <f>IFERROR(__xludf.DUMMYFUNCTION("IF(B185="""","" "",IMPORTRANGE(B185,""'export'!h1""))")," ")</f>
        <v> </v>
      </c>
      <c r="O185" s="28" t="str">
        <f>IFERROR(__xludf.DUMMYFUNCTION("IF(B185="""","" "",IMPORTRANGE(B185,""'export'!h11""))")," ")</f>
        <v> </v>
      </c>
      <c r="P185" s="29" t="str">
        <f>IFERROR(__xludf.DUMMYFUNCTION("IF(B185="""","" "",IMPORTRANGE(B185,""'export'!i1""))")," ")</f>
        <v> </v>
      </c>
      <c r="Q185" s="30" t="str">
        <f>IFERROR(__xludf.DUMMYFUNCTION("IF(B185="""","" "",IMPORTRANGE(B185,""'export'!i13""))")," ")</f>
        <v> </v>
      </c>
      <c r="R185" s="31" t="str">
        <f t="shared" si="2"/>
        <v/>
      </c>
      <c r="S185" s="32" t="str">
        <f>IFERROR(__xludf.DUMMYFUNCTION("IF(B185="""","" "",IMPORTRANGE(B185,""'export'!g1""))")," ")</f>
        <v> </v>
      </c>
    </row>
    <row r="186">
      <c r="A186" s="18"/>
      <c r="B186" s="35"/>
      <c r="C186" s="20" t="str">
        <f>IFERROR(__xludf.DUMMYFUNCTION("IF(B186="""","" "",IMPORTRANGE(B186,""'Export'!m1""))")," ")</f>
        <v> </v>
      </c>
      <c r="D186" s="21" t="str">
        <f t="shared" si="1"/>
        <v> ,  ,  </v>
      </c>
      <c r="E186" s="22" t="str">
        <f>IFERROR(__xludf.DUMMYFUNCTION("IF(B186="""","" "",IMPORTRANGE(B186,""'EXPORT'!L1""))")," ")</f>
        <v> </v>
      </c>
      <c r="F186" s="23" t="str">
        <f>IFERROR(__xludf.DUMMYFUNCTION("IF(B186="""","" "",IMPORTRANGE(B186,""'Export'!a1""))")," ")</f>
        <v> </v>
      </c>
      <c r="G186" s="23" t="str">
        <f>IFERROR(__xludf.DUMMYFUNCTION("IF(B186="""","" "",IMPORTRANGE(B186,""'export'!b1""))")," ")</f>
        <v> </v>
      </c>
      <c r="H186" s="23" t="str">
        <f>IFERROR(__xludf.DUMMYFUNCTION("IF(B186="""","" "",IMPORTRANGE(B186,""'export'!c1""))")," ")</f>
        <v> </v>
      </c>
      <c r="I186" s="24" t="str">
        <f>IFERROR(__xludf.DUMMYFUNCTION("IF(B186="""","" "",IMPORTRANGE(B186,""'export'!d1""))")," ")</f>
        <v> </v>
      </c>
      <c r="J186" s="25" t="str">
        <f>IFERROR(__xludf.DUMMYFUNCTION("IF(B186="""","" "",IMPORTRANGE(B186,""'export'!e1""))")," ")</f>
        <v> </v>
      </c>
      <c r="K186" s="25"/>
      <c r="L186" s="21" t="str">
        <f>IFERROR(__xludf.DUMMYFUNCTION("IF(B186="""","" "",IMPORTRANGE(B186,""'export'!f1""))")," ")</f>
        <v> </v>
      </c>
      <c r="M186" s="26" t="str">
        <f>IFERROR(__xludf.DUMMYFUNCTION("IF(B186="""","" "",IMPORTRANGE(B186,""'export'!h3""))")," ")</f>
        <v> </v>
      </c>
      <c r="N186" s="27" t="str">
        <f>IFERROR(__xludf.DUMMYFUNCTION("IF(B186="""","" "",IMPORTRANGE(B186,""'export'!h1""))")," ")</f>
        <v> </v>
      </c>
      <c r="O186" s="28" t="str">
        <f>IFERROR(__xludf.DUMMYFUNCTION("IF(B186="""","" "",IMPORTRANGE(B186,""'export'!h11""))")," ")</f>
        <v> </v>
      </c>
      <c r="P186" s="29" t="str">
        <f>IFERROR(__xludf.DUMMYFUNCTION("IF(B186="""","" "",IMPORTRANGE(B186,""'export'!i1""))")," ")</f>
        <v> </v>
      </c>
      <c r="Q186" s="30" t="str">
        <f>IFERROR(__xludf.DUMMYFUNCTION("IF(B186="""","" "",IMPORTRANGE(B186,""'export'!i13""))")," ")</f>
        <v> </v>
      </c>
      <c r="R186" s="31" t="str">
        <f t="shared" si="2"/>
        <v/>
      </c>
      <c r="S186" s="32" t="str">
        <f>IFERROR(__xludf.DUMMYFUNCTION("IF(B186="""","" "",IMPORTRANGE(B186,""'export'!g1""))")," ")</f>
        <v> </v>
      </c>
    </row>
    <row r="187">
      <c r="A187" s="18"/>
      <c r="B187" s="35"/>
      <c r="C187" s="20" t="str">
        <f>IFERROR(__xludf.DUMMYFUNCTION("IF(B187="""","" "",IMPORTRANGE(B187,""'Export'!m1""))")," ")</f>
        <v> </v>
      </c>
      <c r="D187" s="21" t="str">
        <f t="shared" si="1"/>
        <v> ,  ,  </v>
      </c>
      <c r="E187" s="22" t="str">
        <f>IFERROR(__xludf.DUMMYFUNCTION("IF(B187="""","" "",IMPORTRANGE(B187,""'EXPORT'!L1""))")," ")</f>
        <v> </v>
      </c>
      <c r="F187" s="23" t="str">
        <f>IFERROR(__xludf.DUMMYFUNCTION("IF(B187="""","" "",IMPORTRANGE(B187,""'Export'!a1""))")," ")</f>
        <v> </v>
      </c>
      <c r="G187" s="23" t="str">
        <f>IFERROR(__xludf.DUMMYFUNCTION("IF(B187="""","" "",IMPORTRANGE(B187,""'export'!b1""))")," ")</f>
        <v> </v>
      </c>
      <c r="H187" s="23" t="str">
        <f>IFERROR(__xludf.DUMMYFUNCTION("IF(B187="""","" "",IMPORTRANGE(B187,""'export'!c1""))")," ")</f>
        <v> </v>
      </c>
      <c r="I187" s="24" t="str">
        <f>IFERROR(__xludf.DUMMYFUNCTION("IF(B187="""","" "",IMPORTRANGE(B187,""'export'!d1""))")," ")</f>
        <v> </v>
      </c>
      <c r="J187" s="25" t="str">
        <f>IFERROR(__xludf.DUMMYFUNCTION("IF(B187="""","" "",IMPORTRANGE(B187,""'export'!e1""))")," ")</f>
        <v> </v>
      </c>
      <c r="K187" s="25"/>
      <c r="L187" s="21" t="str">
        <f>IFERROR(__xludf.DUMMYFUNCTION("IF(B187="""","" "",IMPORTRANGE(B187,""'export'!f1""))")," ")</f>
        <v> </v>
      </c>
      <c r="M187" s="26" t="str">
        <f>IFERROR(__xludf.DUMMYFUNCTION("IF(B187="""","" "",IMPORTRANGE(B187,""'export'!h3""))")," ")</f>
        <v> </v>
      </c>
      <c r="N187" s="27" t="str">
        <f>IFERROR(__xludf.DUMMYFUNCTION("IF(B187="""","" "",IMPORTRANGE(B187,""'export'!h1""))")," ")</f>
        <v> </v>
      </c>
      <c r="O187" s="28" t="str">
        <f>IFERROR(__xludf.DUMMYFUNCTION("IF(B187="""","" "",IMPORTRANGE(B187,""'export'!h11""))")," ")</f>
        <v> </v>
      </c>
      <c r="P187" s="29" t="str">
        <f>IFERROR(__xludf.DUMMYFUNCTION("IF(B187="""","" "",IMPORTRANGE(B187,""'export'!i1""))")," ")</f>
        <v> </v>
      </c>
      <c r="Q187" s="30" t="str">
        <f>IFERROR(__xludf.DUMMYFUNCTION("IF(B187="""","" "",IMPORTRANGE(B187,""'export'!i13""))")," ")</f>
        <v> </v>
      </c>
      <c r="R187" s="31" t="str">
        <f t="shared" si="2"/>
        <v/>
      </c>
      <c r="S187" s="32" t="str">
        <f>IFERROR(__xludf.DUMMYFUNCTION("IF(B187="""","" "",IMPORTRANGE(B187,""'export'!g1""))")," ")</f>
        <v> </v>
      </c>
    </row>
    <row r="188">
      <c r="A188" s="18"/>
      <c r="B188" s="35"/>
      <c r="C188" s="20" t="str">
        <f>IFERROR(__xludf.DUMMYFUNCTION("IF(B188="""","" "",IMPORTRANGE(B188,""'Export'!m1""))")," ")</f>
        <v> </v>
      </c>
      <c r="D188" s="21" t="str">
        <f t="shared" si="1"/>
        <v> ,  ,  </v>
      </c>
      <c r="E188" s="22" t="str">
        <f>IFERROR(__xludf.DUMMYFUNCTION("IF(B188="""","" "",IMPORTRANGE(B188,""'EXPORT'!L1""))")," ")</f>
        <v> </v>
      </c>
      <c r="F188" s="23" t="str">
        <f>IFERROR(__xludf.DUMMYFUNCTION("IF(B188="""","" "",IMPORTRANGE(B188,""'Export'!a1""))")," ")</f>
        <v> </v>
      </c>
      <c r="G188" s="23" t="str">
        <f>IFERROR(__xludf.DUMMYFUNCTION("IF(B188="""","" "",IMPORTRANGE(B188,""'export'!b1""))")," ")</f>
        <v> </v>
      </c>
      <c r="H188" s="23" t="str">
        <f>IFERROR(__xludf.DUMMYFUNCTION("IF(B188="""","" "",IMPORTRANGE(B188,""'export'!c1""))")," ")</f>
        <v> </v>
      </c>
      <c r="I188" s="24" t="str">
        <f>IFERROR(__xludf.DUMMYFUNCTION("IF(B188="""","" "",IMPORTRANGE(B188,""'export'!d1""))")," ")</f>
        <v> </v>
      </c>
      <c r="J188" s="25" t="str">
        <f>IFERROR(__xludf.DUMMYFUNCTION("IF(B188="""","" "",IMPORTRANGE(B188,""'export'!e1""))")," ")</f>
        <v> </v>
      </c>
      <c r="K188" s="25"/>
      <c r="L188" s="21" t="str">
        <f>IFERROR(__xludf.DUMMYFUNCTION("IF(B188="""","" "",IMPORTRANGE(B188,""'export'!f1""))")," ")</f>
        <v> </v>
      </c>
      <c r="M188" s="26" t="str">
        <f>IFERROR(__xludf.DUMMYFUNCTION("IF(B188="""","" "",IMPORTRANGE(B188,""'export'!h3""))")," ")</f>
        <v> </v>
      </c>
      <c r="N188" s="27" t="str">
        <f>IFERROR(__xludf.DUMMYFUNCTION("IF(B188="""","" "",IMPORTRANGE(B188,""'export'!h1""))")," ")</f>
        <v> </v>
      </c>
      <c r="O188" s="28" t="str">
        <f>IFERROR(__xludf.DUMMYFUNCTION("IF(B188="""","" "",IMPORTRANGE(B188,""'export'!h11""))")," ")</f>
        <v> </v>
      </c>
      <c r="P188" s="29" t="str">
        <f>IFERROR(__xludf.DUMMYFUNCTION("IF(B188="""","" "",IMPORTRANGE(B188,""'export'!i1""))")," ")</f>
        <v> </v>
      </c>
      <c r="Q188" s="30" t="str">
        <f>IFERROR(__xludf.DUMMYFUNCTION("IF(B188="""","" "",IMPORTRANGE(B188,""'export'!i13""))")," ")</f>
        <v> </v>
      </c>
      <c r="R188" s="31" t="str">
        <f t="shared" si="2"/>
        <v/>
      </c>
      <c r="S188" s="32" t="str">
        <f>IFERROR(__xludf.DUMMYFUNCTION("IF(B188="""","" "",IMPORTRANGE(B188,""'export'!g1""))")," ")</f>
        <v> </v>
      </c>
    </row>
    <row r="189">
      <c r="A189" s="18"/>
      <c r="B189" s="35"/>
      <c r="C189" s="20" t="str">
        <f>IFERROR(__xludf.DUMMYFUNCTION("IF(B189="""","" "",IMPORTRANGE(B189,""'Export'!m1""))")," ")</f>
        <v> </v>
      </c>
      <c r="D189" s="21" t="str">
        <f t="shared" si="1"/>
        <v> ,  ,  </v>
      </c>
      <c r="E189" s="22" t="str">
        <f>IFERROR(__xludf.DUMMYFUNCTION("IF(B189="""","" "",IMPORTRANGE(B189,""'EXPORT'!L1""))")," ")</f>
        <v> </v>
      </c>
      <c r="F189" s="23" t="str">
        <f>IFERROR(__xludf.DUMMYFUNCTION("IF(B189="""","" "",IMPORTRANGE(B189,""'Export'!a1""))")," ")</f>
        <v> </v>
      </c>
      <c r="G189" s="23" t="str">
        <f>IFERROR(__xludf.DUMMYFUNCTION("IF(B189="""","" "",IMPORTRANGE(B189,""'export'!b1""))")," ")</f>
        <v> </v>
      </c>
      <c r="H189" s="23" t="str">
        <f>IFERROR(__xludf.DUMMYFUNCTION("IF(B189="""","" "",IMPORTRANGE(B189,""'export'!c1""))")," ")</f>
        <v> </v>
      </c>
      <c r="I189" s="24" t="str">
        <f>IFERROR(__xludf.DUMMYFUNCTION("IF(B189="""","" "",IMPORTRANGE(B189,""'export'!d1""))")," ")</f>
        <v> </v>
      </c>
      <c r="J189" s="25" t="str">
        <f>IFERROR(__xludf.DUMMYFUNCTION("IF(B189="""","" "",IMPORTRANGE(B189,""'export'!e1""))")," ")</f>
        <v> </v>
      </c>
      <c r="K189" s="25"/>
      <c r="L189" s="21" t="str">
        <f>IFERROR(__xludf.DUMMYFUNCTION("IF(B189="""","" "",IMPORTRANGE(B189,""'export'!f1""))")," ")</f>
        <v> </v>
      </c>
      <c r="M189" s="26" t="str">
        <f>IFERROR(__xludf.DUMMYFUNCTION("IF(B189="""","" "",IMPORTRANGE(B189,""'export'!h3""))")," ")</f>
        <v> </v>
      </c>
      <c r="N189" s="27" t="str">
        <f>IFERROR(__xludf.DUMMYFUNCTION("IF(B189="""","" "",IMPORTRANGE(B189,""'export'!h1""))")," ")</f>
        <v> </v>
      </c>
      <c r="O189" s="28" t="str">
        <f>IFERROR(__xludf.DUMMYFUNCTION("IF(B189="""","" "",IMPORTRANGE(B189,""'export'!h11""))")," ")</f>
        <v> </v>
      </c>
      <c r="P189" s="29" t="str">
        <f>IFERROR(__xludf.DUMMYFUNCTION("IF(B189="""","" "",IMPORTRANGE(B189,""'export'!i1""))")," ")</f>
        <v> </v>
      </c>
      <c r="Q189" s="30" t="str">
        <f>IFERROR(__xludf.DUMMYFUNCTION("IF(B189="""","" "",IMPORTRANGE(B189,""'export'!i13""))")," ")</f>
        <v> </v>
      </c>
      <c r="R189" s="31" t="str">
        <f t="shared" si="2"/>
        <v/>
      </c>
      <c r="S189" s="32" t="str">
        <f>IFERROR(__xludf.DUMMYFUNCTION("IF(B189="""","" "",IMPORTRANGE(B189,""'export'!g1""))")," ")</f>
        <v> </v>
      </c>
    </row>
    <row r="190">
      <c r="A190" s="18"/>
      <c r="B190" s="35"/>
      <c r="C190" s="20" t="str">
        <f>IFERROR(__xludf.DUMMYFUNCTION("IF(B190="""","" "",IMPORTRANGE(B190,""'Export'!m1""))")," ")</f>
        <v> </v>
      </c>
      <c r="D190" s="21" t="str">
        <f t="shared" si="1"/>
        <v> ,  ,  </v>
      </c>
      <c r="E190" s="22" t="str">
        <f>IFERROR(__xludf.DUMMYFUNCTION("IF(B190="""","" "",IMPORTRANGE(B190,""'EXPORT'!L1""))")," ")</f>
        <v> </v>
      </c>
      <c r="F190" s="23" t="str">
        <f>IFERROR(__xludf.DUMMYFUNCTION("IF(B190="""","" "",IMPORTRANGE(B190,""'Export'!a1""))")," ")</f>
        <v> </v>
      </c>
      <c r="G190" s="23" t="str">
        <f>IFERROR(__xludf.DUMMYFUNCTION("IF(B190="""","" "",IMPORTRANGE(B190,""'export'!b1""))")," ")</f>
        <v> </v>
      </c>
      <c r="H190" s="23" t="str">
        <f>IFERROR(__xludf.DUMMYFUNCTION("IF(B190="""","" "",IMPORTRANGE(B190,""'export'!c1""))")," ")</f>
        <v> </v>
      </c>
      <c r="I190" s="24" t="str">
        <f>IFERROR(__xludf.DUMMYFUNCTION("IF(B190="""","" "",IMPORTRANGE(B190,""'export'!d1""))")," ")</f>
        <v> </v>
      </c>
      <c r="J190" s="25" t="str">
        <f>IFERROR(__xludf.DUMMYFUNCTION("IF(B190="""","" "",IMPORTRANGE(B190,""'export'!e1""))")," ")</f>
        <v> </v>
      </c>
      <c r="K190" s="25"/>
      <c r="L190" s="21" t="str">
        <f>IFERROR(__xludf.DUMMYFUNCTION("IF(B190="""","" "",IMPORTRANGE(B190,""'export'!f1""))")," ")</f>
        <v> </v>
      </c>
      <c r="M190" s="26" t="str">
        <f>IFERROR(__xludf.DUMMYFUNCTION("IF(B190="""","" "",IMPORTRANGE(B190,""'export'!h3""))")," ")</f>
        <v> </v>
      </c>
      <c r="N190" s="27" t="str">
        <f>IFERROR(__xludf.DUMMYFUNCTION("IF(B190="""","" "",IMPORTRANGE(B190,""'export'!h1""))")," ")</f>
        <v> </v>
      </c>
      <c r="O190" s="28" t="str">
        <f>IFERROR(__xludf.DUMMYFUNCTION("IF(B190="""","" "",IMPORTRANGE(B190,""'export'!h11""))")," ")</f>
        <v> </v>
      </c>
      <c r="P190" s="29" t="str">
        <f>IFERROR(__xludf.DUMMYFUNCTION("IF(B190="""","" "",IMPORTRANGE(B190,""'export'!i1""))")," ")</f>
        <v> </v>
      </c>
      <c r="Q190" s="30" t="str">
        <f>IFERROR(__xludf.DUMMYFUNCTION("IF(B190="""","" "",IMPORTRANGE(B190,""'export'!i13""))")," ")</f>
        <v> </v>
      </c>
      <c r="R190" s="31" t="str">
        <f t="shared" si="2"/>
        <v/>
      </c>
      <c r="S190" s="32" t="str">
        <f>IFERROR(__xludf.DUMMYFUNCTION("IF(B190="""","" "",IMPORTRANGE(B190,""'export'!g1""))")," ")</f>
        <v> </v>
      </c>
    </row>
    <row r="191">
      <c r="A191" s="18"/>
      <c r="B191" s="35"/>
      <c r="C191" s="20" t="str">
        <f>IFERROR(__xludf.DUMMYFUNCTION("IF(B191="""","" "",IMPORTRANGE(B191,""'Export'!m1""))")," ")</f>
        <v> </v>
      </c>
      <c r="D191" s="21" t="str">
        <f t="shared" si="1"/>
        <v> ,  ,  </v>
      </c>
      <c r="E191" s="22" t="str">
        <f>IFERROR(__xludf.DUMMYFUNCTION("IF(B191="""","" "",IMPORTRANGE(B191,""'EXPORT'!L1""))")," ")</f>
        <v> </v>
      </c>
      <c r="F191" s="23" t="str">
        <f>IFERROR(__xludf.DUMMYFUNCTION("IF(B191="""","" "",IMPORTRANGE(B191,""'Export'!a1""))")," ")</f>
        <v> </v>
      </c>
      <c r="G191" s="23" t="str">
        <f>IFERROR(__xludf.DUMMYFUNCTION("IF(B191="""","" "",IMPORTRANGE(B191,""'export'!b1""))")," ")</f>
        <v> </v>
      </c>
      <c r="H191" s="23" t="str">
        <f>IFERROR(__xludf.DUMMYFUNCTION("IF(B191="""","" "",IMPORTRANGE(B191,""'export'!c1""))")," ")</f>
        <v> </v>
      </c>
      <c r="I191" s="24" t="str">
        <f>IFERROR(__xludf.DUMMYFUNCTION("IF(B191="""","" "",IMPORTRANGE(B191,""'export'!d1""))")," ")</f>
        <v> </v>
      </c>
      <c r="J191" s="25" t="str">
        <f>IFERROR(__xludf.DUMMYFUNCTION("IF(B191="""","" "",IMPORTRANGE(B191,""'export'!e1""))")," ")</f>
        <v> </v>
      </c>
      <c r="K191" s="25"/>
      <c r="L191" s="21" t="str">
        <f>IFERROR(__xludf.DUMMYFUNCTION("IF(B191="""","" "",IMPORTRANGE(B191,""'export'!f1""))")," ")</f>
        <v> </v>
      </c>
      <c r="M191" s="26" t="str">
        <f>IFERROR(__xludf.DUMMYFUNCTION("IF(B191="""","" "",IMPORTRANGE(B191,""'export'!h3""))")," ")</f>
        <v> </v>
      </c>
      <c r="N191" s="27" t="str">
        <f>IFERROR(__xludf.DUMMYFUNCTION("IF(B191="""","" "",IMPORTRANGE(B191,""'export'!h1""))")," ")</f>
        <v> </v>
      </c>
      <c r="O191" s="28" t="str">
        <f>IFERROR(__xludf.DUMMYFUNCTION("IF(B191="""","" "",IMPORTRANGE(B191,""'export'!h11""))")," ")</f>
        <v> </v>
      </c>
      <c r="P191" s="29" t="str">
        <f>IFERROR(__xludf.DUMMYFUNCTION("IF(B191="""","" "",IMPORTRANGE(B191,""'export'!i1""))")," ")</f>
        <v> </v>
      </c>
      <c r="Q191" s="30" t="str">
        <f>IFERROR(__xludf.DUMMYFUNCTION("IF(B191="""","" "",IMPORTRANGE(B191,""'export'!i13""))")," ")</f>
        <v> </v>
      </c>
      <c r="R191" s="31" t="str">
        <f t="shared" si="2"/>
        <v/>
      </c>
      <c r="S191" s="32" t="str">
        <f>IFERROR(__xludf.DUMMYFUNCTION("IF(B191="""","" "",IMPORTRANGE(B191,""'export'!g1""))")," ")</f>
        <v> </v>
      </c>
    </row>
    <row r="192">
      <c r="A192" s="18"/>
      <c r="B192" s="35"/>
      <c r="C192" s="20" t="str">
        <f>IFERROR(__xludf.DUMMYFUNCTION("IF(B192="""","" "",IMPORTRANGE(B192,""'Export'!m1""))")," ")</f>
        <v> </v>
      </c>
      <c r="D192" s="21" t="str">
        <f t="shared" si="1"/>
        <v> ,  ,  </v>
      </c>
      <c r="E192" s="22" t="str">
        <f>IFERROR(__xludf.DUMMYFUNCTION("IF(B192="""","" "",IMPORTRANGE(B192,""'EXPORT'!L1""))")," ")</f>
        <v> </v>
      </c>
      <c r="F192" s="23" t="str">
        <f>IFERROR(__xludf.DUMMYFUNCTION("IF(B192="""","" "",IMPORTRANGE(B192,""'Export'!a1""))")," ")</f>
        <v> </v>
      </c>
      <c r="G192" s="23" t="str">
        <f>IFERROR(__xludf.DUMMYFUNCTION("IF(B192="""","" "",IMPORTRANGE(B192,""'export'!b1""))")," ")</f>
        <v> </v>
      </c>
      <c r="H192" s="23" t="str">
        <f>IFERROR(__xludf.DUMMYFUNCTION("IF(B192="""","" "",IMPORTRANGE(B192,""'export'!c1""))")," ")</f>
        <v> </v>
      </c>
      <c r="I192" s="24" t="str">
        <f>IFERROR(__xludf.DUMMYFUNCTION("IF(B192="""","" "",IMPORTRANGE(B192,""'export'!d1""))")," ")</f>
        <v> </v>
      </c>
      <c r="J192" s="25" t="str">
        <f>IFERROR(__xludf.DUMMYFUNCTION("IF(B192="""","" "",IMPORTRANGE(B192,""'export'!e1""))")," ")</f>
        <v> </v>
      </c>
      <c r="K192" s="25"/>
      <c r="L192" s="21" t="str">
        <f>IFERROR(__xludf.DUMMYFUNCTION("IF(B192="""","" "",IMPORTRANGE(B192,""'export'!f1""))")," ")</f>
        <v> </v>
      </c>
      <c r="M192" s="26" t="str">
        <f>IFERROR(__xludf.DUMMYFUNCTION("IF(B192="""","" "",IMPORTRANGE(B192,""'export'!h3""))")," ")</f>
        <v> </v>
      </c>
      <c r="N192" s="27" t="str">
        <f>IFERROR(__xludf.DUMMYFUNCTION("IF(B192="""","" "",IMPORTRANGE(B192,""'export'!h1""))")," ")</f>
        <v> </v>
      </c>
      <c r="O192" s="28" t="str">
        <f>IFERROR(__xludf.DUMMYFUNCTION("IF(B192="""","" "",IMPORTRANGE(B192,""'export'!h11""))")," ")</f>
        <v> </v>
      </c>
      <c r="P192" s="29" t="str">
        <f>IFERROR(__xludf.DUMMYFUNCTION("IF(B192="""","" "",IMPORTRANGE(B192,""'export'!i1""))")," ")</f>
        <v> </v>
      </c>
      <c r="Q192" s="30" t="str">
        <f>IFERROR(__xludf.DUMMYFUNCTION("IF(B192="""","" "",IMPORTRANGE(B192,""'export'!i13""))")," ")</f>
        <v> </v>
      </c>
      <c r="R192" s="31" t="str">
        <f t="shared" si="2"/>
        <v/>
      </c>
      <c r="S192" s="32" t="str">
        <f>IFERROR(__xludf.DUMMYFUNCTION("IF(B192="""","" "",IMPORTRANGE(B192,""'export'!g1""))")," ")</f>
        <v> </v>
      </c>
    </row>
    <row r="193">
      <c r="A193" s="18"/>
      <c r="B193" s="35"/>
      <c r="C193" s="20" t="str">
        <f>IFERROR(__xludf.DUMMYFUNCTION("IF(B193="""","" "",IMPORTRANGE(B193,""'Export'!m1""))")," ")</f>
        <v> </v>
      </c>
      <c r="D193" s="21" t="str">
        <f t="shared" si="1"/>
        <v> ,  ,  </v>
      </c>
      <c r="E193" s="22" t="str">
        <f>IFERROR(__xludf.DUMMYFUNCTION("IF(B193="""","" "",IMPORTRANGE(B193,""'EXPORT'!L1""))")," ")</f>
        <v> </v>
      </c>
      <c r="F193" s="23" t="str">
        <f>IFERROR(__xludf.DUMMYFUNCTION("IF(B193="""","" "",IMPORTRANGE(B193,""'Export'!a1""))")," ")</f>
        <v> </v>
      </c>
      <c r="G193" s="23" t="str">
        <f>IFERROR(__xludf.DUMMYFUNCTION("IF(B193="""","" "",IMPORTRANGE(B193,""'export'!b1""))")," ")</f>
        <v> </v>
      </c>
      <c r="H193" s="23" t="str">
        <f>IFERROR(__xludf.DUMMYFUNCTION("IF(B193="""","" "",IMPORTRANGE(B193,""'export'!c1""))")," ")</f>
        <v> </v>
      </c>
      <c r="I193" s="24" t="str">
        <f>IFERROR(__xludf.DUMMYFUNCTION("IF(B193="""","" "",IMPORTRANGE(B193,""'export'!d1""))")," ")</f>
        <v> </v>
      </c>
      <c r="J193" s="25" t="str">
        <f>IFERROR(__xludf.DUMMYFUNCTION("IF(B193="""","" "",IMPORTRANGE(B193,""'export'!e1""))")," ")</f>
        <v> </v>
      </c>
      <c r="K193" s="25"/>
      <c r="L193" s="21" t="str">
        <f>IFERROR(__xludf.DUMMYFUNCTION("IF(B193="""","" "",IMPORTRANGE(B193,""'export'!f1""))")," ")</f>
        <v> </v>
      </c>
      <c r="M193" s="26" t="str">
        <f>IFERROR(__xludf.DUMMYFUNCTION("IF(B193="""","" "",IMPORTRANGE(B193,""'export'!h3""))")," ")</f>
        <v> </v>
      </c>
      <c r="N193" s="27" t="str">
        <f>IFERROR(__xludf.DUMMYFUNCTION("IF(B193="""","" "",IMPORTRANGE(B193,""'export'!h1""))")," ")</f>
        <v> </v>
      </c>
      <c r="O193" s="28" t="str">
        <f>IFERROR(__xludf.DUMMYFUNCTION("IF(B193="""","" "",IMPORTRANGE(B193,""'export'!h11""))")," ")</f>
        <v> </v>
      </c>
      <c r="P193" s="29" t="str">
        <f>IFERROR(__xludf.DUMMYFUNCTION("IF(B193="""","" "",IMPORTRANGE(B193,""'export'!i1""))")," ")</f>
        <v> </v>
      </c>
      <c r="Q193" s="30" t="str">
        <f>IFERROR(__xludf.DUMMYFUNCTION("IF(B193="""","" "",IMPORTRANGE(B193,""'export'!i13""))")," ")</f>
        <v> </v>
      </c>
      <c r="R193" s="31" t="str">
        <f t="shared" si="2"/>
        <v/>
      </c>
      <c r="S193" s="32" t="str">
        <f>IFERROR(__xludf.DUMMYFUNCTION("IF(B193="""","" "",IMPORTRANGE(B193,""'export'!g1""))")," ")</f>
        <v> </v>
      </c>
    </row>
    <row r="194">
      <c r="A194" s="18"/>
      <c r="B194" s="35"/>
      <c r="C194" s="20" t="str">
        <f>IFERROR(__xludf.DUMMYFUNCTION("IF(B194="""","" "",IMPORTRANGE(B194,""'Export'!m1""))")," ")</f>
        <v> </v>
      </c>
      <c r="D194" s="21" t="str">
        <f t="shared" si="1"/>
        <v> ,  ,  </v>
      </c>
      <c r="E194" s="22" t="str">
        <f>IFERROR(__xludf.DUMMYFUNCTION("IF(B194="""","" "",IMPORTRANGE(B194,""'EXPORT'!L1""))")," ")</f>
        <v> </v>
      </c>
      <c r="F194" s="23" t="str">
        <f>IFERROR(__xludf.DUMMYFUNCTION("IF(B194="""","" "",IMPORTRANGE(B194,""'Export'!a1""))")," ")</f>
        <v> </v>
      </c>
      <c r="G194" s="23" t="str">
        <f>IFERROR(__xludf.DUMMYFUNCTION("IF(B194="""","" "",IMPORTRANGE(B194,""'export'!b1""))")," ")</f>
        <v> </v>
      </c>
      <c r="H194" s="23" t="str">
        <f>IFERROR(__xludf.DUMMYFUNCTION("IF(B194="""","" "",IMPORTRANGE(B194,""'export'!c1""))")," ")</f>
        <v> </v>
      </c>
      <c r="I194" s="24" t="str">
        <f>IFERROR(__xludf.DUMMYFUNCTION("IF(B194="""","" "",IMPORTRANGE(B194,""'export'!d1""))")," ")</f>
        <v> </v>
      </c>
      <c r="J194" s="25" t="str">
        <f>IFERROR(__xludf.DUMMYFUNCTION("IF(B194="""","" "",IMPORTRANGE(B194,""'export'!e1""))")," ")</f>
        <v> </v>
      </c>
      <c r="K194" s="25"/>
      <c r="L194" s="21" t="str">
        <f>IFERROR(__xludf.DUMMYFUNCTION("IF(B194="""","" "",IMPORTRANGE(B194,""'export'!f1""))")," ")</f>
        <v> </v>
      </c>
      <c r="M194" s="26" t="str">
        <f>IFERROR(__xludf.DUMMYFUNCTION("IF(B194="""","" "",IMPORTRANGE(B194,""'export'!h3""))")," ")</f>
        <v> </v>
      </c>
      <c r="N194" s="27" t="str">
        <f>IFERROR(__xludf.DUMMYFUNCTION("IF(B194="""","" "",IMPORTRANGE(B194,""'export'!h1""))")," ")</f>
        <v> </v>
      </c>
      <c r="O194" s="28" t="str">
        <f>IFERROR(__xludf.DUMMYFUNCTION("IF(B194="""","" "",IMPORTRANGE(B194,""'export'!h11""))")," ")</f>
        <v> </v>
      </c>
      <c r="P194" s="29" t="str">
        <f>IFERROR(__xludf.DUMMYFUNCTION("IF(B194="""","" "",IMPORTRANGE(B194,""'export'!i1""))")," ")</f>
        <v> </v>
      </c>
      <c r="Q194" s="30" t="str">
        <f>IFERROR(__xludf.DUMMYFUNCTION("IF(B194="""","" "",IMPORTRANGE(B194,""'export'!i13""))")," ")</f>
        <v> </v>
      </c>
      <c r="R194" s="31" t="str">
        <f t="shared" si="2"/>
        <v/>
      </c>
      <c r="S194" s="32" t="str">
        <f>IFERROR(__xludf.DUMMYFUNCTION("IF(B194="""","" "",IMPORTRANGE(B194,""'export'!g1""))")," ")</f>
        <v> </v>
      </c>
    </row>
    <row r="195">
      <c r="A195" s="18"/>
      <c r="B195" s="35"/>
      <c r="C195" s="20" t="str">
        <f>IFERROR(__xludf.DUMMYFUNCTION("IF(B195="""","" "",IMPORTRANGE(B195,""'Export'!m1""))")," ")</f>
        <v> </v>
      </c>
      <c r="D195" s="21" t="str">
        <f t="shared" si="1"/>
        <v> ,  ,  </v>
      </c>
      <c r="E195" s="22" t="str">
        <f>IFERROR(__xludf.DUMMYFUNCTION("IF(B195="""","" "",IMPORTRANGE(B195,""'EXPORT'!L1""))")," ")</f>
        <v> </v>
      </c>
      <c r="F195" s="23" t="str">
        <f>IFERROR(__xludf.DUMMYFUNCTION("IF(B195="""","" "",IMPORTRANGE(B195,""'Export'!a1""))")," ")</f>
        <v> </v>
      </c>
      <c r="G195" s="23" t="str">
        <f>IFERROR(__xludf.DUMMYFUNCTION("IF(B195="""","" "",IMPORTRANGE(B195,""'export'!b1""))")," ")</f>
        <v> </v>
      </c>
      <c r="H195" s="23" t="str">
        <f>IFERROR(__xludf.DUMMYFUNCTION("IF(B195="""","" "",IMPORTRANGE(B195,""'export'!c1""))")," ")</f>
        <v> </v>
      </c>
      <c r="I195" s="24" t="str">
        <f>IFERROR(__xludf.DUMMYFUNCTION("IF(B195="""","" "",IMPORTRANGE(B195,""'export'!d1""))")," ")</f>
        <v> </v>
      </c>
      <c r="J195" s="25" t="str">
        <f>IFERROR(__xludf.DUMMYFUNCTION("IF(B195="""","" "",IMPORTRANGE(B195,""'export'!e1""))")," ")</f>
        <v> </v>
      </c>
      <c r="K195" s="25"/>
      <c r="L195" s="21" t="str">
        <f>IFERROR(__xludf.DUMMYFUNCTION("IF(B195="""","" "",IMPORTRANGE(B195,""'export'!f1""))")," ")</f>
        <v> </v>
      </c>
      <c r="M195" s="26" t="str">
        <f>IFERROR(__xludf.DUMMYFUNCTION("IF(B195="""","" "",IMPORTRANGE(B195,""'export'!h3""))")," ")</f>
        <v> </v>
      </c>
      <c r="N195" s="27" t="str">
        <f>IFERROR(__xludf.DUMMYFUNCTION("IF(B195="""","" "",IMPORTRANGE(B195,""'export'!h1""))")," ")</f>
        <v> </v>
      </c>
      <c r="O195" s="28" t="str">
        <f>IFERROR(__xludf.DUMMYFUNCTION("IF(B195="""","" "",IMPORTRANGE(B195,""'export'!h11""))")," ")</f>
        <v> </v>
      </c>
      <c r="P195" s="29" t="str">
        <f>IFERROR(__xludf.DUMMYFUNCTION("IF(B195="""","" "",IMPORTRANGE(B195,""'export'!i1""))")," ")</f>
        <v> </v>
      </c>
      <c r="Q195" s="30" t="str">
        <f>IFERROR(__xludf.DUMMYFUNCTION("IF(B195="""","" "",IMPORTRANGE(B195,""'export'!i13""))")," ")</f>
        <v> </v>
      </c>
      <c r="R195" s="31" t="str">
        <f t="shared" si="2"/>
        <v/>
      </c>
      <c r="S195" s="32" t="str">
        <f>IFERROR(__xludf.DUMMYFUNCTION("IF(B195="""","" "",IMPORTRANGE(B195,""'export'!g1""))")," ")</f>
        <v> </v>
      </c>
    </row>
    <row r="196">
      <c r="A196" s="18"/>
      <c r="B196" s="35"/>
      <c r="C196" s="20" t="str">
        <f>IFERROR(__xludf.DUMMYFUNCTION("IF(B196="""","" "",IMPORTRANGE(B196,""'Export'!m1""))")," ")</f>
        <v> </v>
      </c>
      <c r="D196" s="21" t="str">
        <f t="shared" si="1"/>
        <v> ,  ,  </v>
      </c>
      <c r="E196" s="22" t="str">
        <f>IFERROR(__xludf.DUMMYFUNCTION("IF(B196="""","" "",IMPORTRANGE(B196,""'EXPORT'!L1""))")," ")</f>
        <v> </v>
      </c>
      <c r="F196" s="23" t="str">
        <f>IFERROR(__xludf.DUMMYFUNCTION("IF(B196="""","" "",IMPORTRANGE(B196,""'Export'!a1""))")," ")</f>
        <v> </v>
      </c>
      <c r="G196" s="23" t="str">
        <f>IFERROR(__xludf.DUMMYFUNCTION("IF(B196="""","" "",IMPORTRANGE(B196,""'export'!b1""))")," ")</f>
        <v> </v>
      </c>
      <c r="H196" s="23" t="str">
        <f>IFERROR(__xludf.DUMMYFUNCTION("IF(B196="""","" "",IMPORTRANGE(B196,""'export'!c1""))")," ")</f>
        <v> </v>
      </c>
      <c r="I196" s="24" t="str">
        <f>IFERROR(__xludf.DUMMYFUNCTION("IF(B196="""","" "",IMPORTRANGE(B196,""'export'!d1""))")," ")</f>
        <v> </v>
      </c>
      <c r="J196" s="25" t="str">
        <f>IFERROR(__xludf.DUMMYFUNCTION("IF(B196="""","" "",IMPORTRANGE(B196,""'export'!e1""))")," ")</f>
        <v> </v>
      </c>
      <c r="K196" s="25"/>
      <c r="L196" s="21" t="str">
        <f>IFERROR(__xludf.DUMMYFUNCTION("IF(B196="""","" "",IMPORTRANGE(B196,""'export'!f1""))")," ")</f>
        <v> </v>
      </c>
      <c r="M196" s="26" t="str">
        <f>IFERROR(__xludf.DUMMYFUNCTION("IF(B196="""","" "",IMPORTRANGE(B196,""'export'!h3""))")," ")</f>
        <v> </v>
      </c>
      <c r="N196" s="27" t="str">
        <f>IFERROR(__xludf.DUMMYFUNCTION("IF(B196="""","" "",IMPORTRANGE(B196,""'export'!h1""))")," ")</f>
        <v> </v>
      </c>
      <c r="O196" s="28" t="str">
        <f>IFERROR(__xludf.DUMMYFUNCTION("IF(B196="""","" "",IMPORTRANGE(B196,""'export'!h11""))")," ")</f>
        <v> </v>
      </c>
      <c r="P196" s="29" t="str">
        <f>IFERROR(__xludf.DUMMYFUNCTION("IF(B196="""","" "",IMPORTRANGE(B196,""'export'!i1""))")," ")</f>
        <v> </v>
      </c>
      <c r="Q196" s="30" t="str">
        <f>IFERROR(__xludf.DUMMYFUNCTION("IF(B196="""","" "",IMPORTRANGE(B196,""'export'!i13""))")," ")</f>
        <v> </v>
      </c>
      <c r="R196" s="31" t="str">
        <f t="shared" si="2"/>
        <v/>
      </c>
      <c r="S196" s="32" t="str">
        <f>IFERROR(__xludf.DUMMYFUNCTION("IF(B196="""","" "",IMPORTRANGE(B196,""'export'!g1""))")," ")</f>
        <v> </v>
      </c>
    </row>
    <row r="197">
      <c r="A197" s="18"/>
      <c r="B197" s="35"/>
      <c r="C197" s="20" t="str">
        <f>IFERROR(__xludf.DUMMYFUNCTION("IF(B197="""","" "",IMPORTRANGE(B197,""'Export'!m1""))")," ")</f>
        <v> </v>
      </c>
      <c r="D197" s="21" t="str">
        <f t="shared" si="1"/>
        <v> ,  ,  </v>
      </c>
      <c r="E197" s="22" t="str">
        <f>IFERROR(__xludf.DUMMYFUNCTION("IF(B197="""","" "",IMPORTRANGE(B197,""'EXPORT'!L1""))")," ")</f>
        <v> </v>
      </c>
      <c r="F197" s="23" t="str">
        <f>IFERROR(__xludf.DUMMYFUNCTION("IF(B197="""","" "",IMPORTRANGE(B197,""'Export'!a1""))")," ")</f>
        <v> </v>
      </c>
      <c r="G197" s="23" t="str">
        <f>IFERROR(__xludf.DUMMYFUNCTION("IF(B197="""","" "",IMPORTRANGE(B197,""'export'!b1""))")," ")</f>
        <v> </v>
      </c>
      <c r="H197" s="23" t="str">
        <f>IFERROR(__xludf.DUMMYFUNCTION("IF(B197="""","" "",IMPORTRANGE(B197,""'export'!c1""))")," ")</f>
        <v> </v>
      </c>
      <c r="I197" s="24" t="str">
        <f>IFERROR(__xludf.DUMMYFUNCTION("IF(B197="""","" "",IMPORTRANGE(B197,""'export'!d1""))")," ")</f>
        <v> </v>
      </c>
      <c r="J197" s="25" t="str">
        <f>IFERROR(__xludf.DUMMYFUNCTION("IF(B197="""","" "",IMPORTRANGE(B197,""'export'!e1""))")," ")</f>
        <v> </v>
      </c>
      <c r="K197" s="25"/>
      <c r="L197" s="21" t="str">
        <f>IFERROR(__xludf.DUMMYFUNCTION("IF(B197="""","" "",IMPORTRANGE(B197,""'export'!f1""))")," ")</f>
        <v> </v>
      </c>
      <c r="M197" s="26" t="str">
        <f>IFERROR(__xludf.DUMMYFUNCTION("IF(B197="""","" "",IMPORTRANGE(B197,""'export'!h3""))")," ")</f>
        <v> </v>
      </c>
      <c r="N197" s="27" t="str">
        <f>IFERROR(__xludf.DUMMYFUNCTION("IF(B197="""","" "",IMPORTRANGE(B197,""'export'!h1""))")," ")</f>
        <v> </v>
      </c>
      <c r="O197" s="28" t="str">
        <f>IFERROR(__xludf.DUMMYFUNCTION("IF(B197="""","" "",IMPORTRANGE(B197,""'export'!h11""))")," ")</f>
        <v> </v>
      </c>
      <c r="P197" s="29" t="str">
        <f>IFERROR(__xludf.DUMMYFUNCTION("IF(B197="""","" "",IMPORTRANGE(B197,""'export'!i1""))")," ")</f>
        <v> </v>
      </c>
      <c r="Q197" s="30" t="str">
        <f>IFERROR(__xludf.DUMMYFUNCTION("IF(B197="""","" "",IMPORTRANGE(B197,""'export'!i13""))")," ")</f>
        <v> </v>
      </c>
      <c r="R197" s="31" t="str">
        <f t="shared" si="2"/>
        <v/>
      </c>
      <c r="S197" s="32" t="str">
        <f>IFERROR(__xludf.DUMMYFUNCTION("IF(B197="""","" "",IMPORTRANGE(B197,""'export'!g1""))")," ")</f>
        <v> </v>
      </c>
    </row>
    <row r="198">
      <c r="A198" s="18"/>
      <c r="B198" s="35"/>
      <c r="C198" s="20" t="str">
        <f>IFERROR(__xludf.DUMMYFUNCTION("IF(B198="""","" "",IMPORTRANGE(B198,""'Export'!m1""))")," ")</f>
        <v> </v>
      </c>
      <c r="D198" s="21" t="str">
        <f t="shared" si="1"/>
        <v> ,  ,  </v>
      </c>
      <c r="E198" s="22" t="str">
        <f>IFERROR(__xludf.DUMMYFUNCTION("IF(B198="""","" "",IMPORTRANGE(B198,""'EXPORT'!L1""))")," ")</f>
        <v> </v>
      </c>
      <c r="F198" s="23" t="str">
        <f>IFERROR(__xludf.DUMMYFUNCTION("IF(B198="""","" "",IMPORTRANGE(B198,""'Export'!a1""))")," ")</f>
        <v> </v>
      </c>
      <c r="G198" s="23" t="str">
        <f>IFERROR(__xludf.DUMMYFUNCTION("IF(B198="""","" "",IMPORTRANGE(B198,""'export'!b1""))")," ")</f>
        <v> </v>
      </c>
      <c r="H198" s="23" t="str">
        <f>IFERROR(__xludf.DUMMYFUNCTION("IF(B198="""","" "",IMPORTRANGE(B198,""'export'!c1""))")," ")</f>
        <v> </v>
      </c>
      <c r="I198" s="24" t="str">
        <f>IFERROR(__xludf.DUMMYFUNCTION("IF(B198="""","" "",IMPORTRANGE(B198,""'export'!d1""))")," ")</f>
        <v> </v>
      </c>
      <c r="J198" s="25" t="str">
        <f>IFERROR(__xludf.DUMMYFUNCTION("IF(B198="""","" "",IMPORTRANGE(B198,""'export'!e1""))")," ")</f>
        <v> </v>
      </c>
      <c r="K198" s="25"/>
      <c r="L198" s="21" t="str">
        <f>IFERROR(__xludf.DUMMYFUNCTION("IF(B198="""","" "",IMPORTRANGE(B198,""'export'!f1""))")," ")</f>
        <v> </v>
      </c>
      <c r="M198" s="26" t="str">
        <f>IFERROR(__xludf.DUMMYFUNCTION("IF(B198="""","" "",IMPORTRANGE(B198,""'export'!h3""))")," ")</f>
        <v> </v>
      </c>
      <c r="N198" s="27" t="str">
        <f>IFERROR(__xludf.DUMMYFUNCTION("IF(B198="""","" "",IMPORTRANGE(B198,""'export'!h1""))")," ")</f>
        <v> </v>
      </c>
      <c r="O198" s="28" t="str">
        <f>IFERROR(__xludf.DUMMYFUNCTION("IF(B198="""","" "",IMPORTRANGE(B198,""'export'!h11""))")," ")</f>
        <v> </v>
      </c>
      <c r="P198" s="29" t="str">
        <f>IFERROR(__xludf.DUMMYFUNCTION("IF(B198="""","" "",IMPORTRANGE(B198,""'export'!i1""))")," ")</f>
        <v> </v>
      </c>
      <c r="Q198" s="30" t="str">
        <f>IFERROR(__xludf.DUMMYFUNCTION("IF(B198="""","" "",IMPORTRANGE(B198,""'export'!i13""))")," ")</f>
        <v> </v>
      </c>
      <c r="R198" s="31" t="str">
        <f t="shared" si="2"/>
        <v/>
      </c>
      <c r="S198" s="32" t="str">
        <f>IFERROR(__xludf.DUMMYFUNCTION("IF(B198="""","" "",IMPORTRANGE(B198,""'export'!g1""))")," ")</f>
        <v> </v>
      </c>
    </row>
    <row r="199">
      <c r="A199" s="18"/>
      <c r="B199" s="35"/>
      <c r="C199" s="20" t="str">
        <f>IFERROR(__xludf.DUMMYFUNCTION("IF(B199="""","" "",IMPORTRANGE(B199,""'Export'!m1""))")," ")</f>
        <v> </v>
      </c>
      <c r="D199" s="21" t="str">
        <f t="shared" si="1"/>
        <v> ,  ,  </v>
      </c>
      <c r="E199" s="22" t="str">
        <f>IFERROR(__xludf.DUMMYFUNCTION("IF(B199="""","" "",IMPORTRANGE(B199,""'EXPORT'!L1""))")," ")</f>
        <v> </v>
      </c>
      <c r="F199" s="23" t="str">
        <f>IFERROR(__xludf.DUMMYFUNCTION("IF(B199="""","" "",IMPORTRANGE(B199,""'Export'!a1""))")," ")</f>
        <v> </v>
      </c>
      <c r="G199" s="23" t="str">
        <f>IFERROR(__xludf.DUMMYFUNCTION("IF(B199="""","" "",IMPORTRANGE(B199,""'export'!b1""))")," ")</f>
        <v> </v>
      </c>
      <c r="H199" s="23" t="str">
        <f>IFERROR(__xludf.DUMMYFUNCTION("IF(B199="""","" "",IMPORTRANGE(B199,""'export'!c1""))")," ")</f>
        <v> </v>
      </c>
      <c r="I199" s="24" t="str">
        <f>IFERROR(__xludf.DUMMYFUNCTION("IF(B199="""","" "",IMPORTRANGE(B199,""'export'!d1""))")," ")</f>
        <v> </v>
      </c>
      <c r="J199" s="25" t="str">
        <f>IFERROR(__xludf.DUMMYFUNCTION("IF(B199="""","" "",IMPORTRANGE(B199,""'export'!e1""))")," ")</f>
        <v> </v>
      </c>
      <c r="K199" s="25"/>
      <c r="L199" s="21" t="str">
        <f>IFERROR(__xludf.DUMMYFUNCTION("IF(B199="""","" "",IMPORTRANGE(B199,""'export'!f1""))")," ")</f>
        <v> </v>
      </c>
      <c r="M199" s="26" t="str">
        <f>IFERROR(__xludf.DUMMYFUNCTION("IF(B199="""","" "",IMPORTRANGE(B199,""'export'!h3""))")," ")</f>
        <v> </v>
      </c>
      <c r="N199" s="27" t="str">
        <f>IFERROR(__xludf.DUMMYFUNCTION("IF(B199="""","" "",IMPORTRANGE(B199,""'export'!h1""))")," ")</f>
        <v> </v>
      </c>
      <c r="O199" s="28" t="str">
        <f>IFERROR(__xludf.DUMMYFUNCTION("IF(B199="""","" "",IMPORTRANGE(B199,""'export'!h11""))")," ")</f>
        <v> </v>
      </c>
      <c r="P199" s="29" t="str">
        <f>IFERROR(__xludf.DUMMYFUNCTION("IF(B199="""","" "",IMPORTRANGE(B199,""'export'!i1""))")," ")</f>
        <v> </v>
      </c>
      <c r="Q199" s="30" t="str">
        <f>IFERROR(__xludf.DUMMYFUNCTION("IF(B199="""","" "",IMPORTRANGE(B199,""'export'!i13""))")," ")</f>
        <v> </v>
      </c>
      <c r="R199" s="31" t="str">
        <f t="shared" si="2"/>
        <v/>
      </c>
      <c r="S199" s="32" t="str">
        <f>IFERROR(__xludf.DUMMYFUNCTION("IF(B199="""","" "",IMPORTRANGE(B199,""'export'!g1""))")," ")</f>
        <v> </v>
      </c>
    </row>
    <row r="200">
      <c r="A200" s="18"/>
      <c r="B200" s="35"/>
      <c r="C200" s="20" t="str">
        <f>IFERROR(__xludf.DUMMYFUNCTION("IF(B200="""","" "",IMPORTRANGE(B200,""'Export'!m1""))")," ")</f>
        <v> </v>
      </c>
      <c r="D200" s="21" t="str">
        <f t="shared" si="1"/>
        <v> ,  ,  </v>
      </c>
      <c r="E200" s="22" t="str">
        <f>IFERROR(__xludf.DUMMYFUNCTION("IF(B200="""","" "",IMPORTRANGE(B200,""'EXPORT'!L1""))")," ")</f>
        <v> </v>
      </c>
      <c r="F200" s="23" t="str">
        <f>IFERROR(__xludf.DUMMYFUNCTION("IF(B200="""","" "",IMPORTRANGE(B200,""'Export'!a1""))")," ")</f>
        <v> </v>
      </c>
      <c r="G200" s="23" t="str">
        <f>IFERROR(__xludf.DUMMYFUNCTION("IF(B200="""","" "",IMPORTRANGE(B200,""'export'!b1""))")," ")</f>
        <v> </v>
      </c>
      <c r="H200" s="23" t="str">
        <f>IFERROR(__xludf.DUMMYFUNCTION("IF(B200="""","" "",IMPORTRANGE(B200,""'export'!c1""))")," ")</f>
        <v> </v>
      </c>
      <c r="I200" s="24" t="str">
        <f>IFERROR(__xludf.DUMMYFUNCTION("IF(B200="""","" "",IMPORTRANGE(B200,""'export'!d1""))")," ")</f>
        <v> </v>
      </c>
      <c r="J200" s="25" t="str">
        <f>IFERROR(__xludf.DUMMYFUNCTION("IF(B200="""","" "",IMPORTRANGE(B200,""'export'!e1""))")," ")</f>
        <v> </v>
      </c>
      <c r="K200" s="25"/>
      <c r="L200" s="21" t="str">
        <f>IFERROR(__xludf.DUMMYFUNCTION("IF(B200="""","" "",IMPORTRANGE(B200,""'export'!f1""))")," ")</f>
        <v> </v>
      </c>
      <c r="M200" s="26" t="str">
        <f>IFERROR(__xludf.DUMMYFUNCTION("IF(B200="""","" "",IMPORTRANGE(B200,""'export'!h3""))")," ")</f>
        <v> </v>
      </c>
      <c r="N200" s="27" t="str">
        <f>IFERROR(__xludf.DUMMYFUNCTION("IF(B200="""","" "",IMPORTRANGE(B200,""'export'!h1""))")," ")</f>
        <v> </v>
      </c>
      <c r="O200" s="28" t="str">
        <f>IFERROR(__xludf.DUMMYFUNCTION("IF(B200="""","" "",IMPORTRANGE(B200,""'export'!h11""))")," ")</f>
        <v> </v>
      </c>
      <c r="P200" s="29" t="str">
        <f>IFERROR(__xludf.DUMMYFUNCTION("IF(B200="""","" "",IMPORTRANGE(B200,""'export'!i1""))")," ")</f>
        <v> </v>
      </c>
      <c r="Q200" s="30" t="str">
        <f>IFERROR(__xludf.DUMMYFUNCTION("IF(B200="""","" "",IMPORTRANGE(B200,""'export'!i13""))")," ")</f>
        <v> </v>
      </c>
      <c r="R200" s="31" t="str">
        <f t="shared" si="2"/>
        <v/>
      </c>
      <c r="S200" s="32" t="str">
        <f>IFERROR(__xludf.DUMMYFUNCTION("IF(B200="""","" "",IMPORTRANGE(B200,""'export'!g1""))")," ")</f>
        <v> </v>
      </c>
    </row>
    <row r="201">
      <c r="A201" s="18"/>
      <c r="B201" s="35"/>
      <c r="C201" s="20" t="str">
        <f>IFERROR(__xludf.DUMMYFUNCTION("IF(B201="""","" "",IMPORTRANGE(B201,""'Export'!m1""))")," ")</f>
        <v> </v>
      </c>
      <c r="D201" s="21" t="str">
        <f t="shared" si="1"/>
        <v> ,  ,  </v>
      </c>
      <c r="E201" s="22" t="str">
        <f>IFERROR(__xludf.DUMMYFUNCTION("IF(B201="""","" "",IMPORTRANGE(B201,""'EXPORT'!L1""))")," ")</f>
        <v> </v>
      </c>
      <c r="F201" s="23" t="str">
        <f>IFERROR(__xludf.DUMMYFUNCTION("IF(B201="""","" "",IMPORTRANGE(B201,""'Export'!a1""))")," ")</f>
        <v> </v>
      </c>
      <c r="G201" s="23" t="str">
        <f>IFERROR(__xludf.DUMMYFUNCTION("IF(B201="""","" "",IMPORTRANGE(B201,""'export'!b1""))")," ")</f>
        <v> </v>
      </c>
      <c r="H201" s="23" t="str">
        <f>IFERROR(__xludf.DUMMYFUNCTION("IF(B201="""","" "",IMPORTRANGE(B201,""'export'!c1""))")," ")</f>
        <v> </v>
      </c>
      <c r="I201" s="24" t="str">
        <f>IFERROR(__xludf.DUMMYFUNCTION("IF(B201="""","" "",IMPORTRANGE(B201,""'export'!d1""))")," ")</f>
        <v> </v>
      </c>
      <c r="J201" s="25" t="str">
        <f>IFERROR(__xludf.DUMMYFUNCTION("IF(B201="""","" "",IMPORTRANGE(B201,""'export'!e1""))")," ")</f>
        <v> </v>
      </c>
      <c r="K201" s="25"/>
      <c r="L201" s="21" t="str">
        <f>IFERROR(__xludf.DUMMYFUNCTION("IF(B201="""","" "",IMPORTRANGE(B201,""'export'!f1""))")," ")</f>
        <v> </v>
      </c>
      <c r="M201" s="26" t="str">
        <f>IFERROR(__xludf.DUMMYFUNCTION("IF(B201="""","" "",IMPORTRANGE(B201,""'export'!h3""))")," ")</f>
        <v> </v>
      </c>
      <c r="N201" s="27" t="str">
        <f>IFERROR(__xludf.DUMMYFUNCTION("IF(B201="""","" "",IMPORTRANGE(B201,""'export'!h1""))")," ")</f>
        <v> </v>
      </c>
      <c r="O201" s="28" t="str">
        <f>IFERROR(__xludf.DUMMYFUNCTION("IF(B201="""","" "",IMPORTRANGE(B201,""'export'!h11""))")," ")</f>
        <v> </v>
      </c>
      <c r="P201" s="29" t="str">
        <f>IFERROR(__xludf.DUMMYFUNCTION("IF(B201="""","" "",IMPORTRANGE(B201,""'export'!i1""))")," ")</f>
        <v> </v>
      </c>
      <c r="Q201" s="30" t="str">
        <f>IFERROR(__xludf.DUMMYFUNCTION("IF(B201="""","" "",IMPORTRANGE(B201,""'export'!i13""))")," ")</f>
        <v> </v>
      </c>
      <c r="R201" s="31" t="str">
        <f t="shared" si="2"/>
        <v/>
      </c>
      <c r="S201" s="32" t="str">
        <f>IFERROR(__xludf.DUMMYFUNCTION("IF(B201="""","" "",IMPORTRANGE(B201,""'export'!g1""))")," ")</f>
        <v> </v>
      </c>
    </row>
    <row r="202">
      <c r="A202" s="18"/>
      <c r="B202" s="35"/>
      <c r="C202" s="20" t="str">
        <f>IFERROR(__xludf.DUMMYFUNCTION("IF(B202="""","" "",IMPORTRANGE(B202,""'Export'!m1""))")," ")</f>
        <v> </v>
      </c>
      <c r="D202" s="21" t="str">
        <f t="shared" si="1"/>
        <v> ,  ,  </v>
      </c>
      <c r="E202" s="22" t="str">
        <f>IFERROR(__xludf.DUMMYFUNCTION("IF(B202="""","" "",IMPORTRANGE(B202,""'EXPORT'!L1""))")," ")</f>
        <v> </v>
      </c>
      <c r="F202" s="23" t="str">
        <f>IFERROR(__xludf.DUMMYFUNCTION("IF(B202="""","" "",IMPORTRANGE(B202,""'Export'!a1""))")," ")</f>
        <v> </v>
      </c>
      <c r="G202" s="23" t="str">
        <f>IFERROR(__xludf.DUMMYFUNCTION("IF(B202="""","" "",IMPORTRANGE(B202,""'export'!b1""))")," ")</f>
        <v> </v>
      </c>
      <c r="H202" s="23" t="str">
        <f>IFERROR(__xludf.DUMMYFUNCTION("IF(B202="""","" "",IMPORTRANGE(B202,""'export'!c1""))")," ")</f>
        <v> </v>
      </c>
      <c r="I202" s="24" t="str">
        <f>IFERROR(__xludf.DUMMYFUNCTION("IF(B202="""","" "",IMPORTRANGE(B202,""'export'!d1""))")," ")</f>
        <v> </v>
      </c>
      <c r="J202" s="25" t="str">
        <f>IFERROR(__xludf.DUMMYFUNCTION("IF(B202="""","" "",IMPORTRANGE(B202,""'export'!e1""))")," ")</f>
        <v> </v>
      </c>
      <c r="K202" s="25"/>
      <c r="L202" s="21" t="str">
        <f>IFERROR(__xludf.DUMMYFUNCTION("IF(B202="""","" "",IMPORTRANGE(B202,""'export'!f1""))")," ")</f>
        <v> </v>
      </c>
      <c r="M202" s="26" t="str">
        <f>IFERROR(__xludf.DUMMYFUNCTION("IF(B202="""","" "",IMPORTRANGE(B202,""'export'!h3""))")," ")</f>
        <v> </v>
      </c>
      <c r="N202" s="27" t="str">
        <f>IFERROR(__xludf.DUMMYFUNCTION("IF(B202="""","" "",IMPORTRANGE(B202,""'export'!h1""))")," ")</f>
        <v> </v>
      </c>
      <c r="O202" s="28" t="str">
        <f>IFERROR(__xludf.DUMMYFUNCTION("IF(B202="""","" "",IMPORTRANGE(B202,""'export'!h11""))")," ")</f>
        <v> </v>
      </c>
      <c r="P202" s="29" t="str">
        <f>IFERROR(__xludf.DUMMYFUNCTION("IF(B202="""","" "",IMPORTRANGE(B202,""'export'!i1""))")," ")</f>
        <v> </v>
      </c>
      <c r="Q202" s="30" t="str">
        <f>IFERROR(__xludf.DUMMYFUNCTION("IF(B202="""","" "",IMPORTRANGE(B202,""'export'!i13""))")," ")</f>
        <v> </v>
      </c>
      <c r="R202" s="31" t="str">
        <f t="shared" si="2"/>
        <v/>
      </c>
      <c r="S202" s="32" t="str">
        <f>IFERROR(__xludf.DUMMYFUNCTION("IF(B202="""","" "",IMPORTRANGE(B202,""'export'!g1""))")," ")</f>
        <v> </v>
      </c>
    </row>
    <row r="203">
      <c r="A203" s="18"/>
      <c r="B203" s="35"/>
      <c r="C203" s="20" t="str">
        <f>IFERROR(__xludf.DUMMYFUNCTION("IF(B203="""","" "",IMPORTRANGE(B203,""'Export'!m1""))")," ")</f>
        <v> </v>
      </c>
      <c r="D203" s="21" t="str">
        <f t="shared" si="1"/>
        <v> ,  ,  </v>
      </c>
      <c r="E203" s="22" t="str">
        <f>IFERROR(__xludf.DUMMYFUNCTION("IF(B203="""","" "",IMPORTRANGE(B203,""'EXPORT'!L1""))")," ")</f>
        <v> </v>
      </c>
      <c r="F203" s="23" t="str">
        <f>IFERROR(__xludf.DUMMYFUNCTION("IF(B203="""","" "",IMPORTRANGE(B203,""'Export'!a1""))")," ")</f>
        <v> </v>
      </c>
      <c r="G203" s="23" t="str">
        <f>IFERROR(__xludf.DUMMYFUNCTION("IF(B203="""","" "",IMPORTRANGE(B203,""'export'!b1""))")," ")</f>
        <v> </v>
      </c>
      <c r="H203" s="23" t="str">
        <f>IFERROR(__xludf.DUMMYFUNCTION("IF(B203="""","" "",IMPORTRANGE(B203,""'export'!c1""))")," ")</f>
        <v> </v>
      </c>
      <c r="I203" s="24" t="str">
        <f>IFERROR(__xludf.DUMMYFUNCTION("IF(B203="""","" "",IMPORTRANGE(B203,""'export'!d1""))")," ")</f>
        <v> </v>
      </c>
      <c r="J203" s="25" t="str">
        <f>IFERROR(__xludf.DUMMYFUNCTION("IF(B203="""","" "",IMPORTRANGE(B203,""'export'!e1""))")," ")</f>
        <v> </v>
      </c>
      <c r="K203" s="25"/>
      <c r="L203" s="21" t="str">
        <f>IFERROR(__xludf.DUMMYFUNCTION("IF(B203="""","" "",IMPORTRANGE(B203,""'export'!f1""))")," ")</f>
        <v> </v>
      </c>
      <c r="M203" s="26" t="str">
        <f>IFERROR(__xludf.DUMMYFUNCTION("IF(B203="""","" "",IMPORTRANGE(B203,""'export'!h3""))")," ")</f>
        <v> </v>
      </c>
      <c r="N203" s="27" t="str">
        <f>IFERROR(__xludf.DUMMYFUNCTION("IF(B203="""","" "",IMPORTRANGE(B203,""'export'!h1""))")," ")</f>
        <v> </v>
      </c>
      <c r="O203" s="28" t="str">
        <f>IFERROR(__xludf.DUMMYFUNCTION("IF(B203="""","" "",IMPORTRANGE(B203,""'export'!h11""))")," ")</f>
        <v> </v>
      </c>
      <c r="P203" s="29" t="str">
        <f>IFERROR(__xludf.DUMMYFUNCTION("IF(B203="""","" "",IMPORTRANGE(B203,""'export'!i1""))")," ")</f>
        <v> </v>
      </c>
      <c r="Q203" s="30" t="str">
        <f>IFERROR(__xludf.DUMMYFUNCTION("IF(B203="""","" "",IMPORTRANGE(B203,""'export'!i13""))")," ")</f>
        <v> </v>
      </c>
      <c r="R203" s="31" t="str">
        <f t="shared" si="2"/>
        <v/>
      </c>
      <c r="S203" s="32" t="str">
        <f>IFERROR(__xludf.DUMMYFUNCTION("IF(B203="""","" "",IMPORTRANGE(B203,""'export'!g1""))")," ")</f>
        <v> </v>
      </c>
    </row>
    <row r="204">
      <c r="A204" s="18"/>
      <c r="B204" s="35"/>
      <c r="C204" s="20" t="str">
        <f>IFERROR(__xludf.DUMMYFUNCTION("IF(B204="""","" "",IMPORTRANGE(B204,""'Export'!m1""))")," ")</f>
        <v> </v>
      </c>
      <c r="D204" s="21" t="str">
        <f t="shared" si="1"/>
        <v> ,  ,  </v>
      </c>
      <c r="E204" s="22" t="str">
        <f>IFERROR(__xludf.DUMMYFUNCTION("IF(B204="""","" "",IMPORTRANGE(B204,""'EXPORT'!L1""))")," ")</f>
        <v> </v>
      </c>
      <c r="F204" s="23" t="str">
        <f>IFERROR(__xludf.DUMMYFUNCTION("IF(B204="""","" "",IMPORTRANGE(B204,""'Export'!a1""))")," ")</f>
        <v> </v>
      </c>
      <c r="G204" s="23" t="str">
        <f>IFERROR(__xludf.DUMMYFUNCTION("IF(B204="""","" "",IMPORTRANGE(B204,""'export'!b1""))")," ")</f>
        <v> </v>
      </c>
      <c r="H204" s="23" t="str">
        <f>IFERROR(__xludf.DUMMYFUNCTION("IF(B204="""","" "",IMPORTRANGE(B204,""'export'!c1""))")," ")</f>
        <v> </v>
      </c>
      <c r="I204" s="24" t="str">
        <f>IFERROR(__xludf.DUMMYFUNCTION("IF(B204="""","" "",IMPORTRANGE(B204,""'export'!d1""))")," ")</f>
        <v> </v>
      </c>
      <c r="J204" s="25" t="str">
        <f>IFERROR(__xludf.DUMMYFUNCTION("IF(B204="""","" "",IMPORTRANGE(B204,""'export'!e1""))")," ")</f>
        <v> </v>
      </c>
      <c r="K204" s="25"/>
      <c r="L204" s="21" t="str">
        <f>IFERROR(__xludf.DUMMYFUNCTION("IF(B204="""","" "",IMPORTRANGE(B204,""'export'!f1""))")," ")</f>
        <v> </v>
      </c>
      <c r="M204" s="26" t="str">
        <f>IFERROR(__xludf.DUMMYFUNCTION("IF(B204="""","" "",IMPORTRANGE(B204,""'export'!h3""))")," ")</f>
        <v> </v>
      </c>
      <c r="N204" s="27" t="str">
        <f>IFERROR(__xludf.DUMMYFUNCTION("IF(B204="""","" "",IMPORTRANGE(B204,""'export'!h1""))")," ")</f>
        <v> </v>
      </c>
      <c r="O204" s="28" t="str">
        <f>IFERROR(__xludf.DUMMYFUNCTION("IF(B204="""","" "",IMPORTRANGE(B204,""'export'!h11""))")," ")</f>
        <v> </v>
      </c>
      <c r="P204" s="29" t="str">
        <f>IFERROR(__xludf.DUMMYFUNCTION("IF(B204="""","" "",IMPORTRANGE(B204,""'export'!i1""))")," ")</f>
        <v> </v>
      </c>
      <c r="Q204" s="30" t="str">
        <f>IFERROR(__xludf.DUMMYFUNCTION("IF(B204="""","" "",IMPORTRANGE(B204,""'export'!i13""))")," ")</f>
        <v> </v>
      </c>
      <c r="R204" s="31" t="str">
        <f t="shared" si="2"/>
        <v/>
      </c>
      <c r="S204" s="32" t="str">
        <f>IFERROR(__xludf.DUMMYFUNCTION("IF(B204="""","" "",IMPORTRANGE(B204,""'export'!g1""))")," ")</f>
        <v> </v>
      </c>
    </row>
    <row r="205">
      <c r="A205" s="18"/>
      <c r="B205" s="35"/>
      <c r="C205" s="20" t="str">
        <f>IFERROR(__xludf.DUMMYFUNCTION("IF(B205="""","" "",IMPORTRANGE(B205,""'Export'!m1""))")," ")</f>
        <v> </v>
      </c>
      <c r="D205" s="21" t="str">
        <f t="shared" si="1"/>
        <v> ,  ,  </v>
      </c>
      <c r="E205" s="22" t="str">
        <f>IFERROR(__xludf.DUMMYFUNCTION("IF(B205="""","" "",IMPORTRANGE(B205,""'EXPORT'!L1""))")," ")</f>
        <v> </v>
      </c>
      <c r="F205" s="23" t="str">
        <f>IFERROR(__xludf.DUMMYFUNCTION("IF(B205="""","" "",IMPORTRANGE(B205,""'Export'!a1""))")," ")</f>
        <v> </v>
      </c>
      <c r="G205" s="23" t="str">
        <f>IFERROR(__xludf.DUMMYFUNCTION("IF(B205="""","" "",IMPORTRANGE(B205,""'export'!b1""))")," ")</f>
        <v> </v>
      </c>
      <c r="H205" s="23" t="str">
        <f>IFERROR(__xludf.DUMMYFUNCTION("IF(B205="""","" "",IMPORTRANGE(B205,""'export'!c1""))")," ")</f>
        <v> </v>
      </c>
      <c r="I205" s="24" t="str">
        <f>IFERROR(__xludf.DUMMYFUNCTION("IF(B205="""","" "",IMPORTRANGE(B205,""'export'!d1""))")," ")</f>
        <v> </v>
      </c>
      <c r="J205" s="25" t="str">
        <f>IFERROR(__xludf.DUMMYFUNCTION("IF(B205="""","" "",IMPORTRANGE(B205,""'export'!e1""))")," ")</f>
        <v> </v>
      </c>
      <c r="K205" s="25"/>
      <c r="L205" s="21" t="str">
        <f>IFERROR(__xludf.DUMMYFUNCTION("IF(B205="""","" "",IMPORTRANGE(B205,""'export'!f1""))")," ")</f>
        <v> </v>
      </c>
      <c r="M205" s="26" t="str">
        <f>IFERROR(__xludf.DUMMYFUNCTION("IF(B205="""","" "",IMPORTRANGE(B205,""'export'!h3""))")," ")</f>
        <v> </v>
      </c>
      <c r="N205" s="27" t="str">
        <f>IFERROR(__xludf.DUMMYFUNCTION("IF(B205="""","" "",IMPORTRANGE(B205,""'export'!h1""))")," ")</f>
        <v> </v>
      </c>
      <c r="O205" s="28" t="str">
        <f>IFERROR(__xludf.DUMMYFUNCTION("IF(B205="""","" "",IMPORTRANGE(B205,""'export'!h11""))")," ")</f>
        <v> </v>
      </c>
      <c r="P205" s="29" t="str">
        <f>IFERROR(__xludf.DUMMYFUNCTION("IF(B205="""","" "",IMPORTRANGE(B205,""'export'!i1""))")," ")</f>
        <v> </v>
      </c>
      <c r="Q205" s="30" t="str">
        <f>IFERROR(__xludf.DUMMYFUNCTION("IF(B205="""","" "",IMPORTRANGE(B205,""'export'!i13""))")," ")</f>
        <v> </v>
      </c>
      <c r="R205" s="31" t="str">
        <f t="shared" si="2"/>
        <v/>
      </c>
      <c r="S205" s="32" t="str">
        <f>IFERROR(__xludf.DUMMYFUNCTION("IF(B205="""","" "",IMPORTRANGE(B205,""'export'!g1""))")," ")</f>
        <v> </v>
      </c>
    </row>
    <row r="206">
      <c r="A206" s="18"/>
      <c r="B206" s="35"/>
      <c r="C206" s="20" t="str">
        <f>IFERROR(__xludf.DUMMYFUNCTION("IF(B206="""","" "",IMPORTRANGE(B206,""'Export'!m1""))")," ")</f>
        <v> </v>
      </c>
      <c r="D206" s="21" t="str">
        <f t="shared" si="1"/>
        <v> ,  ,  </v>
      </c>
      <c r="E206" s="22" t="str">
        <f>IFERROR(__xludf.DUMMYFUNCTION("IF(B206="""","" "",IMPORTRANGE(B206,""'EXPORT'!L1""))")," ")</f>
        <v> </v>
      </c>
      <c r="F206" s="23" t="str">
        <f>IFERROR(__xludf.DUMMYFUNCTION("IF(B206="""","" "",IMPORTRANGE(B206,""'Export'!a1""))")," ")</f>
        <v> </v>
      </c>
      <c r="G206" s="23" t="str">
        <f>IFERROR(__xludf.DUMMYFUNCTION("IF(B206="""","" "",IMPORTRANGE(B206,""'export'!b1""))")," ")</f>
        <v> </v>
      </c>
      <c r="H206" s="23" t="str">
        <f>IFERROR(__xludf.DUMMYFUNCTION("IF(B206="""","" "",IMPORTRANGE(B206,""'export'!c1""))")," ")</f>
        <v> </v>
      </c>
      <c r="I206" s="24" t="str">
        <f>IFERROR(__xludf.DUMMYFUNCTION("IF(B206="""","" "",IMPORTRANGE(B206,""'export'!d1""))")," ")</f>
        <v> </v>
      </c>
      <c r="J206" s="25" t="str">
        <f>IFERROR(__xludf.DUMMYFUNCTION("IF(B206="""","" "",IMPORTRANGE(B206,""'export'!e1""))")," ")</f>
        <v> </v>
      </c>
      <c r="K206" s="25"/>
      <c r="L206" s="21" t="str">
        <f>IFERROR(__xludf.DUMMYFUNCTION("IF(B206="""","" "",IMPORTRANGE(B206,""'export'!f1""))")," ")</f>
        <v> </v>
      </c>
      <c r="M206" s="26" t="str">
        <f>IFERROR(__xludf.DUMMYFUNCTION("IF(B206="""","" "",IMPORTRANGE(B206,""'export'!h3""))")," ")</f>
        <v> </v>
      </c>
      <c r="N206" s="27" t="str">
        <f>IFERROR(__xludf.DUMMYFUNCTION("IF(B206="""","" "",IMPORTRANGE(B206,""'export'!h1""))")," ")</f>
        <v> </v>
      </c>
      <c r="O206" s="28" t="str">
        <f>IFERROR(__xludf.DUMMYFUNCTION("IF(B206="""","" "",IMPORTRANGE(B206,""'export'!h11""))")," ")</f>
        <v> </v>
      </c>
      <c r="P206" s="29" t="str">
        <f>IFERROR(__xludf.DUMMYFUNCTION("IF(B206="""","" "",IMPORTRANGE(B206,""'export'!i1""))")," ")</f>
        <v> </v>
      </c>
      <c r="Q206" s="30" t="str">
        <f>IFERROR(__xludf.DUMMYFUNCTION("IF(B206="""","" "",IMPORTRANGE(B206,""'export'!i13""))")," ")</f>
        <v> </v>
      </c>
      <c r="R206" s="31" t="str">
        <f t="shared" si="2"/>
        <v/>
      </c>
      <c r="S206" s="32" t="str">
        <f>IFERROR(__xludf.DUMMYFUNCTION("IF(B206="""","" "",IMPORTRANGE(B206,""'export'!g1""))")," ")</f>
        <v> </v>
      </c>
    </row>
    <row r="207">
      <c r="A207" s="18"/>
      <c r="B207" s="35"/>
      <c r="C207" s="20" t="str">
        <f>IFERROR(__xludf.DUMMYFUNCTION("IF(B207="""","" "",IMPORTRANGE(B207,""'Export'!m1""))")," ")</f>
        <v> </v>
      </c>
      <c r="D207" s="21" t="str">
        <f t="shared" si="1"/>
        <v> ,  ,  </v>
      </c>
      <c r="E207" s="22" t="str">
        <f>IFERROR(__xludf.DUMMYFUNCTION("IF(B207="""","" "",IMPORTRANGE(B207,""'EXPORT'!L1""))")," ")</f>
        <v> </v>
      </c>
      <c r="F207" s="23" t="str">
        <f>IFERROR(__xludf.DUMMYFUNCTION("IF(B207="""","" "",IMPORTRANGE(B207,""'Export'!a1""))")," ")</f>
        <v> </v>
      </c>
      <c r="G207" s="23" t="str">
        <f>IFERROR(__xludf.DUMMYFUNCTION("IF(B207="""","" "",IMPORTRANGE(B207,""'export'!b1""))")," ")</f>
        <v> </v>
      </c>
      <c r="H207" s="23" t="str">
        <f>IFERROR(__xludf.DUMMYFUNCTION("IF(B207="""","" "",IMPORTRANGE(B207,""'export'!c1""))")," ")</f>
        <v> </v>
      </c>
      <c r="I207" s="24" t="str">
        <f>IFERROR(__xludf.DUMMYFUNCTION("IF(B207="""","" "",IMPORTRANGE(B207,""'export'!d1""))")," ")</f>
        <v> </v>
      </c>
      <c r="J207" s="25" t="str">
        <f>IFERROR(__xludf.DUMMYFUNCTION("IF(B207="""","" "",IMPORTRANGE(B207,""'export'!e1""))")," ")</f>
        <v> </v>
      </c>
      <c r="K207" s="25"/>
      <c r="L207" s="21" t="str">
        <f>IFERROR(__xludf.DUMMYFUNCTION("IF(B207="""","" "",IMPORTRANGE(B207,""'export'!f1""))")," ")</f>
        <v> </v>
      </c>
      <c r="M207" s="26" t="str">
        <f>IFERROR(__xludf.DUMMYFUNCTION("IF(B207="""","" "",IMPORTRANGE(B207,""'export'!h3""))")," ")</f>
        <v> </v>
      </c>
      <c r="N207" s="27" t="str">
        <f>IFERROR(__xludf.DUMMYFUNCTION("IF(B207="""","" "",IMPORTRANGE(B207,""'export'!h1""))")," ")</f>
        <v> </v>
      </c>
      <c r="O207" s="28" t="str">
        <f>IFERROR(__xludf.DUMMYFUNCTION("IF(B207="""","" "",IMPORTRANGE(B207,""'export'!h11""))")," ")</f>
        <v> </v>
      </c>
      <c r="P207" s="29" t="str">
        <f>IFERROR(__xludf.DUMMYFUNCTION("IF(B207="""","" "",IMPORTRANGE(B207,""'export'!i1""))")," ")</f>
        <v> </v>
      </c>
      <c r="Q207" s="30" t="str">
        <f>IFERROR(__xludf.DUMMYFUNCTION("IF(B207="""","" "",IMPORTRANGE(B207,""'export'!i13""))")," ")</f>
        <v> </v>
      </c>
      <c r="R207" s="31" t="str">
        <f t="shared" si="2"/>
        <v/>
      </c>
      <c r="S207" s="32" t="str">
        <f>IFERROR(__xludf.DUMMYFUNCTION("IF(B207="""","" "",IMPORTRANGE(B207,""'export'!g1""))")," ")</f>
        <v> </v>
      </c>
    </row>
    <row r="208">
      <c r="A208" s="18"/>
      <c r="B208" s="35"/>
      <c r="C208" s="20" t="str">
        <f>IFERROR(__xludf.DUMMYFUNCTION("IF(B208="""","" "",IMPORTRANGE(B208,""'Export'!m1""))")," ")</f>
        <v> </v>
      </c>
      <c r="D208" s="21" t="str">
        <f t="shared" si="1"/>
        <v> ,  ,  </v>
      </c>
      <c r="E208" s="22" t="str">
        <f>IFERROR(__xludf.DUMMYFUNCTION("IF(B208="""","" "",IMPORTRANGE(B208,""'EXPORT'!L1""))")," ")</f>
        <v> </v>
      </c>
      <c r="F208" s="23" t="str">
        <f>IFERROR(__xludf.DUMMYFUNCTION("IF(B208="""","" "",IMPORTRANGE(B208,""'Export'!a1""))")," ")</f>
        <v> </v>
      </c>
      <c r="G208" s="23" t="str">
        <f>IFERROR(__xludf.DUMMYFUNCTION("IF(B208="""","" "",IMPORTRANGE(B208,""'export'!b1""))")," ")</f>
        <v> </v>
      </c>
      <c r="H208" s="23" t="str">
        <f>IFERROR(__xludf.DUMMYFUNCTION("IF(B208="""","" "",IMPORTRANGE(B208,""'export'!c1""))")," ")</f>
        <v> </v>
      </c>
      <c r="I208" s="24" t="str">
        <f>IFERROR(__xludf.DUMMYFUNCTION("IF(B208="""","" "",IMPORTRANGE(B208,""'export'!d1""))")," ")</f>
        <v> </v>
      </c>
      <c r="J208" s="25" t="str">
        <f>IFERROR(__xludf.DUMMYFUNCTION("IF(B208="""","" "",IMPORTRANGE(B208,""'export'!e1""))")," ")</f>
        <v> </v>
      </c>
      <c r="K208" s="25"/>
      <c r="L208" s="21" t="str">
        <f>IFERROR(__xludf.DUMMYFUNCTION("IF(B208="""","" "",IMPORTRANGE(B208,""'export'!f1""))")," ")</f>
        <v> </v>
      </c>
      <c r="M208" s="26" t="str">
        <f>IFERROR(__xludf.DUMMYFUNCTION("IF(B208="""","" "",IMPORTRANGE(B208,""'export'!h3""))")," ")</f>
        <v> </v>
      </c>
      <c r="N208" s="27" t="str">
        <f>IFERROR(__xludf.DUMMYFUNCTION("IF(B208="""","" "",IMPORTRANGE(B208,""'export'!h1""))")," ")</f>
        <v> </v>
      </c>
      <c r="O208" s="28" t="str">
        <f>IFERROR(__xludf.DUMMYFUNCTION("IF(B208="""","" "",IMPORTRANGE(B208,""'export'!h11""))")," ")</f>
        <v> </v>
      </c>
      <c r="P208" s="29" t="str">
        <f>IFERROR(__xludf.DUMMYFUNCTION("IF(B208="""","" "",IMPORTRANGE(B208,""'export'!i1""))")," ")</f>
        <v> </v>
      </c>
      <c r="Q208" s="30" t="str">
        <f>IFERROR(__xludf.DUMMYFUNCTION("IF(B208="""","" "",IMPORTRANGE(B208,""'export'!i13""))")," ")</f>
        <v> </v>
      </c>
      <c r="R208" s="31" t="str">
        <f t="shared" si="2"/>
        <v/>
      </c>
      <c r="S208" s="32" t="str">
        <f>IFERROR(__xludf.DUMMYFUNCTION("IF(B208="""","" "",IMPORTRANGE(B208,""'export'!g1""))")," ")</f>
        <v> </v>
      </c>
    </row>
    <row r="209">
      <c r="A209" s="18"/>
      <c r="B209" s="35"/>
      <c r="C209" s="20" t="str">
        <f>IFERROR(__xludf.DUMMYFUNCTION("IF(B209="""","" "",IMPORTRANGE(B209,""'Export'!m1""))")," ")</f>
        <v> </v>
      </c>
      <c r="D209" s="21" t="str">
        <f t="shared" si="1"/>
        <v> ,  ,  </v>
      </c>
      <c r="E209" s="22" t="str">
        <f>IFERROR(__xludf.DUMMYFUNCTION("IF(B209="""","" "",IMPORTRANGE(B209,""'EXPORT'!L1""))")," ")</f>
        <v> </v>
      </c>
      <c r="F209" s="23" t="str">
        <f>IFERROR(__xludf.DUMMYFUNCTION("IF(B209="""","" "",IMPORTRANGE(B209,""'Export'!a1""))")," ")</f>
        <v> </v>
      </c>
      <c r="G209" s="23" t="str">
        <f>IFERROR(__xludf.DUMMYFUNCTION("IF(B209="""","" "",IMPORTRANGE(B209,""'export'!b1""))")," ")</f>
        <v> </v>
      </c>
      <c r="H209" s="23" t="str">
        <f>IFERROR(__xludf.DUMMYFUNCTION("IF(B209="""","" "",IMPORTRANGE(B209,""'export'!c1""))")," ")</f>
        <v> </v>
      </c>
      <c r="I209" s="24" t="str">
        <f>IFERROR(__xludf.DUMMYFUNCTION("IF(B209="""","" "",IMPORTRANGE(B209,""'export'!d1""))")," ")</f>
        <v> </v>
      </c>
      <c r="J209" s="25" t="str">
        <f>IFERROR(__xludf.DUMMYFUNCTION("IF(B209="""","" "",IMPORTRANGE(B209,""'export'!e1""))")," ")</f>
        <v> </v>
      </c>
      <c r="K209" s="25"/>
      <c r="L209" s="21" t="str">
        <f>IFERROR(__xludf.DUMMYFUNCTION("IF(B209="""","" "",IMPORTRANGE(B209,""'export'!f1""))")," ")</f>
        <v> </v>
      </c>
      <c r="M209" s="26" t="str">
        <f>IFERROR(__xludf.DUMMYFUNCTION("IF(B209="""","" "",IMPORTRANGE(B209,""'export'!h3""))")," ")</f>
        <v> </v>
      </c>
      <c r="N209" s="27" t="str">
        <f>IFERROR(__xludf.DUMMYFUNCTION("IF(B209="""","" "",IMPORTRANGE(B209,""'export'!h1""))")," ")</f>
        <v> </v>
      </c>
      <c r="O209" s="28" t="str">
        <f>IFERROR(__xludf.DUMMYFUNCTION("IF(B209="""","" "",IMPORTRANGE(B209,""'export'!h11""))")," ")</f>
        <v> </v>
      </c>
      <c r="P209" s="29" t="str">
        <f>IFERROR(__xludf.DUMMYFUNCTION("IF(B209="""","" "",IMPORTRANGE(B209,""'export'!i1""))")," ")</f>
        <v> </v>
      </c>
      <c r="Q209" s="30" t="str">
        <f>IFERROR(__xludf.DUMMYFUNCTION("IF(B209="""","" "",IMPORTRANGE(B209,""'export'!i13""))")," ")</f>
        <v> </v>
      </c>
      <c r="R209" s="31" t="str">
        <f t="shared" si="2"/>
        <v/>
      </c>
      <c r="S209" s="32" t="str">
        <f>IFERROR(__xludf.DUMMYFUNCTION("IF(B209="""","" "",IMPORTRANGE(B209,""'export'!g1""))")," ")</f>
        <v> </v>
      </c>
    </row>
    <row r="210">
      <c r="A210" s="18"/>
      <c r="B210" s="35"/>
      <c r="C210" s="20" t="str">
        <f>IFERROR(__xludf.DUMMYFUNCTION("IF(B210="""","" "",IMPORTRANGE(B210,""'Export'!m1""))")," ")</f>
        <v> </v>
      </c>
      <c r="D210" s="21" t="str">
        <f t="shared" si="1"/>
        <v> ,  ,  </v>
      </c>
      <c r="E210" s="22" t="str">
        <f>IFERROR(__xludf.DUMMYFUNCTION("IF(B210="""","" "",IMPORTRANGE(B210,""'EXPORT'!L1""))")," ")</f>
        <v> </v>
      </c>
      <c r="F210" s="23" t="str">
        <f>IFERROR(__xludf.DUMMYFUNCTION("IF(B210="""","" "",IMPORTRANGE(B210,""'Export'!a1""))")," ")</f>
        <v> </v>
      </c>
      <c r="G210" s="23" t="str">
        <f>IFERROR(__xludf.DUMMYFUNCTION("IF(B210="""","" "",IMPORTRANGE(B210,""'export'!b1""))")," ")</f>
        <v> </v>
      </c>
      <c r="H210" s="23" t="str">
        <f>IFERROR(__xludf.DUMMYFUNCTION("IF(B210="""","" "",IMPORTRANGE(B210,""'export'!c1""))")," ")</f>
        <v> </v>
      </c>
      <c r="I210" s="24" t="str">
        <f>IFERROR(__xludf.DUMMYFUNCTION("IF(B210="""","" "",IMPORTRANGE(B210,""'export'!d1""))")," ")</f>
        <v> </v>
      </c>
      <c r="J210" s="25" t="str">
        <f>IFERROR(__xludf.DUMMYFUNCTION("IF(B210="""","" "",IMPORTRANGE(B210,""'export'!e1""))")," ")</f>
        <v> </v>
      </c>
      <c r="K210" s="25"/>
      <c r="L210" s="21" t="str">
        <f>IFERROR(__xludf.DUMMYFUNCTION("IF(B210="""","" "",IMPORTRANGE(B210,""'export'!f1""))")," ")</f>
        <v> </v>
      </c>
      <c r="M210" s="26" t="str">
        <f>IFERROR(__xludf.DUMMYFUNCTION("IF(B210="""","" "",IMPORTRANGE(B210,""'export'!h3""))")," ")</f>
        <v> </v>
      </c>
      <c r="N210" s="27" t="str">
        <f>IFERROR(__xludf.DUMMYFUNCTION("IF(B210="""","" "",IMPORTRANGE(B210,""'export'!h1""))")," ")</f>
        <v> </v>
      </c>
      <c r="O210" s="28" t="str">
        <f>IFERROR(__xludf.DUMMYFUNCTION("IF(B210="""","" "",IMPORTRANGE(B210,""'export'!h11""))")," ")</f>
        <v> </v>
      </c>
      <c r="P210" s="29" t="str">
        <f>IFERROR(__xludf.DUMMYFUNCTION("IF(B210="""","" "",IMPORTRANGE(B210,""'export'!i1""))")," ")</f>
        <v> </v>
      </c>
      <c r="Q210" s="30" t="str">
        <f>IFERROR(__xludf.DUMMYFUNCTION("IF(B210="""","" "",IMPORTRANGE(B210,""'export'!i13""))")," ")</f>
        <v> </v>
      </c>
      <c r="R210" s="31" t="str">
        <f t="shared" si="2"/>
        <v/>
      </c>
      <c r="S210" s="32" t="str">
        <f>IFERROR(__xludf.DUMMYFUNCTION("IF(B210="""","" "",IMPORTRANGE(B210,""'export'!g1""))")," ")</f>
        <v> </v>
      </c>
    </row>
    <row r="211">
      <c r="A211" s="18"/>
      <c r="B211" s="35"/>
      <c r="C211" s="20" t="str">
        <f>IFERROR(__xludf.DUMMYFUNCTION("IF(B211="""","" "",IMPORTRANGE(B211,""'Export'!m1""))")," ")</f>
        <v> </v>
      </c>
      <c r="D211" s="21" t="str">
        <f t="shared" si="1"/>
        <v> ,  ,  </v>
      </c>
      <c r="E211" s="22" t="str">
        <f>IFERROR(__xludf.DUMMYFUNCTION("IF(B211="""","" "",IMPORTRANGE(B211,""'EXPORT'!L1""))")," ")</f>
        <v> </v>
      </c>
      <c r="F211" s="23" t="str">
        <f>IFERROR(__xludf.DUMMYFUNCTION("IF(B211="""","" "",IMPORTRANGE(B211,""'Export'!a1""))")," ")</f>
        <v> </v>
      </c>
      <c r="G211" s="23" t="str">
        <f>IFERROR(__xludf.DUMMYFUNCTION("IF(B211="""","" "",IMPORTRANGE(B211,""'export'!b1""))")," ")</f>
        <v> </v>
      </c>
      <c r="H211" s="23" t="str">
        <f>IFERROR(__xludf.DUMMYFUNCTION("IF(B211="""","" "",IMPORTRANGE(B211,""'export'!c1""))")," ")</f>
        <v> </v>
      </c>
      <c r="I211" s="24" t="str">
        <f>IFERROR(__xludf.DUMMYFUNCTION("IF(B211="""","" "",IMPORTRANGE(B211,""'export'!d1""))")," ")</f>
        <v> </v>
      </c>
      <c r="J211" s="25" t="str">
        <f>IFERROR(__xludf.DUMMYFUNCTION("IF(B211="""","" "",IMPORTRANGE(B211,""'export'!e1""))")," ")</f>
        <v> </v>
      </c>
      <c r="K211" s="25"/>
      <c r="L211" s="21" t="str">
        <f>IFERROR(__xludf.DUMMYFUNCTION("IF(B211="""","" "",IMPORTRANGE(B211,""'export'!f1""))")," ")</f>
        <v> </v>
      </c>
      <c r="M211" s="26" t="str">
        <f>IFERROR(__xludf.DUMMYFUNCTION("IF(B211="""","" "",IMPORTRANGE(B211,""'export'!h3""))")," ")</f>
        <v> </v>
      </c>
      <c r="N211" s="27" t="str">
        <f>IFERROR(__xludf.DUMMYFUNCTION("IF(B211="""","" "",IMPORTRANGE(B211,""'export'!h1""))")," ")</f>
        <v> </v>
      </c>
      <c r="O211" s="28" t="str">
        <f>IFERROR(__xludf.DUMMYFUNCTION("IF(B211="""","" "",IMPORTRANGE(B211,""'export'!h11""))")," ")</f>
        <v> </v>
      </c>
      <c r="P211" s="29" t="str">
        <f>IFERROR(__xludf.DUMMYFUNCTION("IF(B211="""","" "",IMPORTRANGE(B211,""'export'!i1""))")," ")</f>
        <v> </v>
      </c>
      <c r="Q211" s="30" t="str">
        <f>IFERROR(__xludf.DUMMYFUNCTION("IF(B211="""","" "",IMPORTRANGE(B211,""'export'!i13""))")," ")</f>
        <v> </v>
      </c>
      <c r="R211" s="31" t="str">
        <f t="shared" si="2"/>
        <v/>
      </c>
      <c r="S211" s="32" t="str">
        <f>IFERROR(__xludf.DUMMYFUNCTION("IF(B211="""","" "",IMPORTRANGE(B211,""'export'!g1""))")," ")</f>
        <v> </v>
      </c>
    </row>
    <row r="212">
      <c r="A212" s="18"/>
      <c r="B212" s="35"/>
      <c r="C212" s="20" t="str">
        <f>IFERROR(__xludf.DUMMYFUNCTION("IF(B212="""","" "",IMPORTRANGE(B212,""'Export'!m1""))")," ")</f>
        <v> </v>
      </c>
      <c r="D212" s="21" t="str">
        <f t="shared" si="1"/>
        <v> ,  ,  </v>
      </c>
      <c r="E212" s="22" t="str">
        <f>IFERROR(__xludf.DUMMYFUNCTION("IF(B212="""","" "",IMPORTRANGE(B212,""'EXPORT'!L1""))")," ")</f>
        <v> </v>
      </c>
      <c r="F212" s="23" t="str">
        <f>IFERROR(__xludf.DUMMYFUNCTION("IF(B212="""","" "",IMPORTRANGE(B212,""'Export'!a1""))")," ")</f>
        <v> </v>
      </c>
      <c r="G212" s="23" t="str">
        <f>IFERROR(__xludf.DUMMYFUNCTION("IF(B212="""","" "",IMPORTRANGE(B212,""'export'!b1""))")," ")</f>
        <v> </v>
      </c>
      <c r="H212" s="23" t="str">
        <f>IFERROR(__xludf.DUMMYFUNCTION("IF(B212="""","" "",IMPORTRANGE(B212,""'export'!c1""))")," ")</f>
        <v> </v>
      </c>
      <c r="I212" s="24" t="str">
        <f>IFERROR(__xludf.DUMMYFUNCTION("IF(B212="""","" "",IMPORTRANGE(B212,""'export'!d1""))")," ")</f>
        <v> </v>
      </c>
      <c r="J212" s="25" t="str">
        <f>IFERROR(__xludf.DUMMYFUNCTION("IF(B212="""","" "",IMPORTRANGE(B212,""'export'!e1""))")," ")</f>
        <v> </v>
      </c>
      <c r="K212" s="25"/>
      <c r="L212" s="21" t="str">
        <f>IFERROR(__xludf.DUMMYFUNCTION("IF(B212="""","" "",IMPORTRANGE(B212,""'export'!f1""))")," ")</f>
        <v> </v>
      </c>
      <c r="M212" s="26" t="str">
        <f>IFERROR(__xludf.DUMMYFUNCTION("IF(B212="""","" "",IMPORTRANGE(B212,""'export'!h3""))")," ")</f>
        <v> </v>
      </c>
      <c r="N212" s="27" t="str">
        <f>IFERROR(__xludf.DUMMYFUNCTION("IF(B212="""","" "",IMPORTRANGE(B212,""'export'!h1""))")," ")</f>
        <v> </v>
      </c>
      <c r="O212" s="28" t="str">
        <f>IFERROR(__xludf.DUMMYFUNCTION("IF(B212="""","" "",IMPORTRANGE(B212,""'export'!h11""))")," ")</f>
        <v> </v>
      </c>
      <c r="P212" s="29" t="str">
        <f>IFERROR(__xludf.DUMMYFUNCTION("IF(B212="""","" "",IMPORTRANGE(B212,""'export'!i1""))")," ")</f>
        <v> </v>
      </c>
      <c r="Q212" s="30" t="str">
        <f>IFERROR(__xludf.DUMMYFUNCTION("IF(B212="""","" "",IMPORTRANGE(B212,""'export'!i13""))")," ")</f>
        <v> </v>
      </c>
      <c r="R212" s="31" t="str">
        <f t="shared" si="2"/>
        <v/>
      </c>
      <c r="S212" s="32" t="str">
        <f>IFERROR(__xludf.DUMMYFUNCTION("IF(B212="""","" "",IMPORTRANGE(B212,""'export'!g1""))")," ")</f>
        <v> </v>
      </c>
    </row>
    <row r="213">
      <c r="A213" s="18"/>
      <c r="B213" s="35"/>
      <c r="C213" s="20" t="str">
        <f>IFERROR(__xludf.DUMMYFUNCTION("IF(B213="""","" "",IMPORTRANGE(B213,""'Export'!m1""))")," ")</f>
        <v> </v>
      </c>
      <c r="D213" s="21" t="str">
        <f t="shared" si="1"/>
        <v> ,  ,  </v>
      </c>
      <c r="E213" s="22" t="str">
        <f>IFERROR(__xludf.DUMMYFUNCTION("IF(B213="""","" "",IMPORTRANGE(B213,""'EXPORT'!L1""))")," ")</f>
        <v> </v>
      </c>
      <c r="F213" s="23" t="str">
        <f>IFERROR(__xludf.DUMMYFUNCTION("IF(B213="""","" "",IMPORTRANGE(B213,""'Export'!a1""))")," ")</f>
        <v> </v>
      </c>
      <c r="G213" s="23" t="str">
        <f>IFERROR(__xludf.DUMMYFUNCTION("IF(B213="""","" "",IMPORTRANGE(B213,""'export'!b1""))")," ")</f>
        <v> </v>
      </c>
      <c r="H213" s="23" t="str">
        <f>IFERROR(__xludf.DUMMYFUNCTION("IF(B213="""","" "",IMPORTRANGE(B213,""'export'!c1""))")," ")</f>
        <v> </v>
      </c>
      <c r="I213" s="24" t="str">
        <f>IFERROR(__xludf.DUMMYFUNCTION("IF(B213="""","" "",IMPORTRANGE(B213,""'export'!d1""))")," ")</f>
        <v> </v>
      </c>
      <c r="J213" s="25" t="str">
        <f>IFERROR(__xludf.DUMMYFUNCTION("IF(B213="""","" "",IMPORTRANGE(B213,""'export'!e1""))")," ")</f>
        <v> </v>
      </c>
      <c r="K213" s="25"/>
      <c r="L213" s="21" t="str">
        <f>IFERROR(__xludf.DUMMYFUNCTION("IF(B213="""","" "",IMPORTRANGE(B213,""'export'!f1""))")," ")</f>
        <v> </v>
      </c>
      <c r="M213" s="26" t="str">
        <f>IFERROR(__xludf.DUMMYFUNCTION("IF(B213="""","" "",IMPORTRANGE(B213,""'export'!h3""))")," ")</f>
        <v> </v>
      </c>
      <c r="N213" s="27" t="str">
        <f>IFERROR(__xludf.DUMMYFUNCTION("IF(B213="""","" "",IMPORTRANGE(B213,""'export'!h1""))")," ")</f>
        <v> </v>
      </c>
      <c r="O213" s="28" t="str">
        <f>IFERROR(__xludf.DUMMYFUNCTION("IF(B213="""","" "",IMPORTRANGE(B213,""'export'!h11""))")," ")</f>
        <v> </v>
      </c>
      <c r="P213" s="29" t="str">
        <f>IFERROR(__xludf.DUMMYFUNCTION("IF(B213="""","" "",IMPORTRANGE(B213,""'export'!i1""))")," ")</f>
        <v> </v>
      </c>
      <c r="Q213" s="30" t="str">
        <f>IFERROR(__xludf.DUMMYFUNCTION("IF(B213="""","" "",IMPORTRANGE(B213,""'export'!i13""))")," ")</f>
        <v> </v>
      </c>
      <c r="R213" s="31" t="str">
        <f t="shared" si="2"/>
        <v/>
      </c>
      <c r="S213" s="32" t="str">
        <f>IFERROR(__xludf.DUMMYFUNCTION("IF(B213="""","" "",IMPORTRANGE(B213,""'export'!g1""))")," ")</f>
        <v> </v>
      </c>
    </row>
    <row r="214">
      <c r="A214" s="18"/>
      <c r="B214" s="35"/>
      <c r="C214" s="20" t="str">
        <f>IFERROR(__xludf.DUMMYFUNCTION("IF(B214="""","" "",IMPORTRANGE(B214,""'Export'!m1""))")," ")</f>
        <v> </v>
      </c>
      <c r="D214" s="21" t="str">
        <f t="shared" si="1"/>
        <v> ,  ,  </v>
      </c>
      <c r="E214" s="22" t="str">
        <f>IFERROR(__xludf.DUMMYFUNCTION("IF(B214="""","" "",IMPORTRANGE(B214,""'EXPORT'!L1""))")," ")</f>
        <v> </v>
      </c>
      <c r="F214" s="23" t="str">
        <f>IFERROR(__xludf.DUMMYFUNCTION("IF(B214="""","" "",IMPORTRANGE(B214,""'Export'!a1""))")," ")</f>
        <v> </v>
      </c>
      <c r="G214" s="23" t="str">
        <f>IFERROR(__xludf.DUMMYFUNCTION("IF(B214="""","" "",IMPORTRANGE(B214,""'export'!b1""))")," ")</f>
        <v> </v>
      </c>
      <c r="H214" s="23" t="str">
        <f>IFERROR(__xludf.DUMMYFUNCTION("IF(B214="""","" "",IMPORTRANGE(B214,""'export'!c1""))")," ")</f>
        <v> </v>
      </c>
      <c r="I214" s="24" t="str">
        <f>IFERROR(__xludf.DUMMYFUNCTION("IF(B214="""","" "",IMPORTRANGE(B214,""'export'!d1""))")," ")</f>
        <v> </v>
      </c>
      <c r="J214" s="25" t="str">
        <f>IFERROR(__xludf.DUMMYFUNCTION("IF(B214="""","" "",IMPORTRANGE(B214,""'export'!e1""))")," ")</f>
        <v> </v>
      </c>
      <c r="K214" s="25"/>
      <c r="L214" s="21" t="str">
        <f>IFERROR(__xludf.DUMMYFUNCTION("IF(B214="""","" "",IMPORTRANGE(B214,""'export'!f1""))")," ")</f>
        <v> </v>
      </c>
      <c r="M214" s="26" t="str">
        <f>IFERROR(__xludf.DUMMYFUNCTION("IF(B214="""","" "",IMPORTRANGE(B214,""'export'!h3""))")," ")</f>
        <v> </v>
      </c>
      <c r="N214" s="27" t="str">
        <f>IFERROR(__xludf.DUMMYFUNCTION("IF(B214="""","" "",IMPORTRANGE(B214,""'export'!h1""))")," ")</f>
        <v> </v>
      </c>
      <c r="O214" s="28" t="str">
        <f>IFERROR(__xludf.DUMMYFUNCTION("IF(B214="""","" "",IMPORTRANGE(B214,""'export'!h11""))")," ")</f>
        <v> </v>
      </c>
      <c r="P214" s="29" t="str">
        <f>IFERROR(__xludf.DUMMYFUNCTION("IF(B214="""","" "",IMPORTRANGE(B214,""'export'!i1""))")," ")</f>
        <v> </v>
      </c>
      <c r="Q214" s="30" t="str">
        <f>IFERROR(__xludf.DUMMYFUNCTION("IF(B214="""","" "",IMPORTRANGE(B214,""'export'!i13""))")," ")</f>
        <v> </v>
      </c>
      <c r="R214" s="31" t="str">
        <f t="shared" si="2"/>
        <v/>
      </c>
      <c r="S214" s="32" t="str">
        <f>IFERROR(__xludf.DUMMYFUNCTION("IF(B214="""","" "",IMPORTRANGE(B214,""'export'!g1""))")," ")</f>
        <v> </v>
      </c>
    </row>
    <row r="215">
      <c r="A215" s="18"/>
      <c r="B215" s="35"/>
      <c r="C215" s="20" t="str">
        <f>IFERROR(__xludf.DUMMYFUNCTION("IF(B215="""","" "",IMPORTRANGE(B215,""'Export'!m1""))")," ")</f>
        <v> </v>
      </c>
      <c r="D215" s="21" t="str">
        <f t="shared" si="1"/>
        <v> ,  ,  </v>
      </c>
      <c r="E215" s="22" t="str">
        <f>IFERROR(__xludf.DUMMYFUNCTION("IF(B215="""","" "",IMPORTRANGE(B215,""'EXPORT'!L1""))")," ")</f>
        <v> </v>
      </c>
      <c r="F215" s="23" t="str">
        <f>IFERROR(__xludf.DUMMYFUNCTION("IF(B215="""","" "",IMPORTRANGE(B215,""'Export'!a1""))")," ")</f>
        <v> </v>
      </c>
      <c r="G215" s="23" t="str">
        <f>IFERROR(__xludf.DUMMYFUNCTION("IF(B215="""","" "",IMPORTRANGE(B215,""'export'!b1""))")," ")</f>
        <v> </v>
      </c>
      <c r="H215" s="23" t="str">
        <f>IFERROR(__xludf.DUMMYFUNCTION("IF(B215="""","" "",IMPORTRANGE(B215,""'export'!c1""))")," ")</f>
        <v> </v>
      </c>
      <c r="I215" s="24" t="str">
        <f>IFERROR(__xludf.DUMMYFUNCTION("IF(B215="""","" "",IMPORTRANGE(B215,""'export'!d1""))")," ")</f>
        <v> </v>
      </c>
      <c r="J215" s="25" t="str">
        <f>IFERROR(__xludf.DUMMYFUNCTION("IF(B215="""","" "",IMPORTRANGE(B215,""'export'!e1""))")," ")</f>
        <v> </v>
      </c>
      <c r="K215" s="25"/>
      <c r="L215" s="21" t="str">
        <f>IFERROR(__xludf.DUMMYFUNCTION("IF(B215="""","" "",IMPORTRANGE(B215,""'export'!f1""))")," ")</f>
        <v> </v>
      </c>
      <c r="M215" s="26" t="str">
        <f>IFERROR(__xludf.DUMMYFUNCTION("IF(B215="""","" "",IMPORTRANGE(B215,""'export'!h3""))")," ")</f>
        <v> </v>
      </c>
      <c r="N215" s="27" t="str">
        <f>IFERROR(__xludf.DUMMYFUNCTION("IF(B215="""","" "",IMPORTRANGE(B215,""'export'!h1""))")," ")</f>
        <v> </v>
      </c>
      <c r="O215" s="28" t="str">
        <f>IFERROR(__xludf.DUMMYFUNCTION("IF(B215="""","" "",IMPORTRANGE(B215,""'export'!h11""))")," ")</f>
        <v> </v>
      </c>
      <c r="P215" s="29" t="str">
        <f>IFERROR(__xludf.DUMMYFUNCTION("IF(B215="""","" "",IMPORTRANGE(B215,""'export'!i1""))")," ")</f>
        <v> </v>
      </c>
      <c r="Q215" s="30" t="str">
        <f>IFERROR(__xludf.DUMMYFUNCTION("IF(B215="""","" "",IMPORTRANGE(B215,""'export'!i13""))")," ")</f>
        <v> </v>
      </c>
      <c r="R215" s="31" t="str">
        <f t="shared" si="2"/>
        <v/>
      </c>
      <c r="S215" s="32" t="str">
        <f>IFERROR(__xludf.DUMMYFUNCTION("IF(B215="""","" "",IMPORTRANGE(B215,""'export'!g1""))")," ")</f>
        <v> </v>
      </c>
    </row>
    <row r="216">
      <c r="A216" s="18"/>
      <c r="B216" s="35"/>
      <c r="C216" s="20" t="str">
        <f>IFERROR(__xludf.DUMMYFUNCTION("IF(B216="""","" "",IMPORTRANGE(B216,""'Export'!m1""))")," ")</f>
        <v> </v>
      </c>
      <c r="D216" s="21" t="str">
        <f t="shared" si="1"/>
        <v> ,  ,  </v>
      </c>
      <c r="E216" s="22" t="str">
        <f>IFERROR(__xludf.DUMMYFUNCTION("IF(B216="""","" "",IMPORTRANGE(B216,""'EXPORT'!L1""))")," ")</f>
        <v> </v>
      </c>
      <c r="F216" s="23" t="str">
        <f>IFERROR(__xludf.DUMMYFUNCTION("IF(B216="""","" "",IMPORTRANGE(B216,""'Export'!a1""))")," ")</f>
        <v> </v>
      </c>
      <c r="G216" s="23" t="str">
        <f>IFERROR(__xludf.DUMMYFUNCTION("IF(B216="""","" "",IMPORTRANGE(B216,""'export'!b1""))")," ")</f>
        <v> </v>
      </c>
      <c r="H216" s="23" t="str">
        <f>IFERROR(__xludf.DUMMYFUNCTION("IF(B216="""","" "",IMPORTRANGE(B216,""'export'!c1""))")," ")</f>
        <v> </v>
      </c>
      <c r="I216" s="24" t="str">
        <f>IFERROR(__xludf.DUMMYFUNCTION("IF(B216="""","" "",IMPORTRANGE(B216,""'export'!d1""))")," ")</f>
        <v> </v>
      </c>
      <c r="J216" s="25" t="str">
        <f>IFERROR(__xludf.DUMMYFUNCTION("IF(B216="""","" "",IMPORTRANGE(B216,""'export'!e1""))")," ")</f>
        <v> </v>
      </c>
      <c r="K216" s="25"/>
      <c r="L216" s="21" t="str">
        <f>IFERROR(__xludf.DUMMYFUNCTION("IF(B216="""","" "",IMPORTRANGE(B216,""'export'!f1""))")," ")</f>
        <v> </v>
      </c>
      <c r="M216" s="26" t="str">
        <f>IFERROR(__xludf.DUMMYFUNCTION("IF(B216="""","" "",IMPORTRANGE(B216,""'export'!h3""))")," ")</f>
        <v> </v>
      </c>
      <c r="N216" s="27" t="str">
        <f>IFERROR(__xludf.DUMMYFUNCTION("IF(B216="""","" "",IMPORTRANGE(B216,""'export'!h1""))")," ")</f>
        <v> </v>
      </c>
      <c r="O216" s="28" t="str">
        <f>IFERROR(__xludf.DUMMYFUNCTION("IF(B216="""","" "",IMPORTRANGE(B216,""'export'!h11""))")," ")</f>
        <v> </v>
      </c>
      <c r="P216" s="29" t="str">
        <f>IFERROR(__xludf.DUMMYFUNCTION("IF(B216="""","" "",IMPORTRANGE(B216,""'export'!i1""))")," ")</f>
        <v> </v>
      </c>
      <c r="Q216" s="30" t="str">
        <f>IFERROR(__xludf.DUMMYFUNCTION("IF(B216="""","" "",IMPORTRANGE(B216,""'export'!i13""))")," ")</f>
        <v> </v>
      </c>
      <c r="R216" s="31" t="str">
        <f t="shared" si="2"/>
        <v/>
      </c>
      <c r="S216" s="32" t="str">
        <f>IFERROR(__xludf.DUMMYFUNCTION("IF(B216="""","" "",IMPORTRANGE(B216,""'export'!g1""))")," ")</f>
        <v> </v>
      </c>
    </row>
    <row r="217">
      <c r="A217" s="18"/>
      <c r="B217" s="35"/>
      <c r="C217" s="20" t="str">
        <f>IFERROR(__xludf.DUMMYFUNCTION("IF(B217="""","" "",IMPORTRANGE(B217,""'Export'!m1""))")," ")</f>
        <v> </v>
      </c>
      <c r="D217" s="21" t="str">
        <f t="shared" si="1"/>
        <v> ,  ,  </v>
      </c>
      <c r="E217" s="22" t="str">
        <f>IFERROR(__xludf.DUMMYFUNCTION("IF(B217="""","" "",IMPORTRANGE(B217,""'EXPORT'!L1""))")," ")</f>
        <v> </v>
      </c>
      <c r="F217" s="23" t="str">
        <f>IFERROR(__xludf.DUMMYFUNCTION("IF(B217="""","" "",IMPORTRANGE(B217,""'Export'!a1""))")," ")</f>
        <v> </v>
      </c>
      <c r="G217" s="23" t="str">
        <f>IFERROR(__xludf.DUMMYFUNCTION("IF(B217="""","" "",IMPORTRANGE(B217,""'export'!b1""))")," ")</f>
        <v> </v>
      </c>
      <c r="H217" s="23" t="str">
        <f>IFERROR(__xludf.DUMMYFUNCTION("IF(B217="""","" "",IMPORTRANGE(B217,""'export'!c1""))")," ")</f>
        <v> </v>
      </c>
      <c r="I217" s="24" t="str">
        <f>IFERROR(__xludf.DUMMYFUNCTION("IF(B217="""","" "",IMPORTRANGE(B217,""'export'!d1""))")," ")</f>
        <v> </v>
      </c>
      <c r="J217" s="25" t="str">
        <f>IFERROR(__xludf.DUMMYFUNCTION("IF(B217="""","" "",IMPORTRANGE(B217,""'export'!e1""))")," ")</f>
        <v> </v>
      </c>
      <c r="K217" s="25"/>
      <c r="L217" s="21" t="str">
        <f>IFERROR(__xludf.DUMMYFUNCTION("IF(B217="""","" "",IMPORTRANGE(B217,""'export'!f1""))")," ")</f>
        <v> </v>
      </c>
      <c r="M217" s="26" t="str">
        <f>IFERROR(__xludf.DUMMYFUNCTION("IF(B217="""","" "",IMPORTRANGE(B217,""'export'!h3""))")," ")</f>
        <v> </v>
      </c>
      <c r="N217" s="27" t="str">
        <f>IFERROR(__xludf.DUMMYFUNCTION("IF(B217="""","" "",IMPORTRANGE(B217,""'export'!h1""))")," ")</f>
        <v> </v>
      </c>
      <c r="O217" s="28" t="str">
        <f>IFERROR(__xludf.DUMMYFUNCTION("IF(B217="""","" "",IMPORTRANGE(B217,""'export'!h11""))")," ")</f>
        <v> </v>
      </c>
      <c r="P217" s="29" t="str">
        <f>IFERROR(__xludf.DUMMYFUNCTION("IF(B217="""","" "",IMPORTRANGE(B217,""'export'!i1""))")," ")</f>
        <v> </v>
      </c>
      <c r="Q217" s="30" t="str">
        <f>IFERROR(__xludf.DUMMYFUNCTION("IF(B217="""","" "",IMPORTRANGE(B217,""'export'!i13""))")," ")</f>
        <v> </v>
      </c>
      <c r="R217" s="31" t="str">
        <f t="shared" si="2"/>
        <v/>
      </c>
      <c r="S217" s="32" t="str">
        <f>IFERROR(__xludf.DUMMYFUNCTION("IF(B217="""","" "",IMPORTRANGE(B217,""'export'!g1""))")," ")</f>
        <v> </v>
      </c>
    </row>
    <row r="218">
      <c r="A218" s="18"/>
      <c r="B218" s="35"/>
      <c r="C218" s="20" t="str">
        <f>IFERROR(__xludf.DUMMYFUNCTION("IF(B218="""","" "",IMPORTRANGE(B218,""'Export'!m1""))")," ")</f>
        <v> </v>
      </c>
      <c r="D218" s="21" t="str">
        <f t="shared" si="1"/>
        <v> ,  ,  </v>
      </c>
      <c r="E218" s="22" t="str">
        <f>IFERROR(__xludf.DUMMYFUNCTION("IF(B218="""","" "",IMPORTRANGE(B218,""'EXPORT'!L1""))")," ")</f>
        <v> </v>
      </c>
      <c r="F218" s="23" t="str">
        <f>IFERROR(__xludf.DUMMYFUNCTION("IF(B218="""","" "",IMPORTRANGE(B218,""'Export'!a1""))")," ")</f>
        <v> </v>
      </c>
      <c r="G218" s="23" t="str">
        <f>IFERROR(__xludf.DUMMYFUNCTION("IF(B218="""","" "",IMPORTRANGE(B218,""'export'!b1""))")," ")</f>
        <v> </v>
      </c>
      <c r="H218" s="23" t="str">
        <f>IFERROR(__xludf.DUMMYFUNCTION("IF(B218="""","" "",IMPORTRANGE(B218,""'export'!c1""))")," ")</f>
        <v> </v>
      </c>
      <c r="I218" s="24" t="str">
        <f>IFERROR(__xludf.DUMMYFUNCTION("IF(B218="""","" "",IMPORTRANGE(B218,""'export'!d1""))")," ")</f>
        <v> </v>
      </c>
      <c r="J218" s="25" t="str">
        <f>IFERROR(__xludf.DUMMYFUNCTION("IF(B218="""","" "",IMPORTRANGE(B218,""'export'!e1""))")," ")</f>
        <v> </v>
      </c>
      <c r="K218" s="25"/>
      <c r="L218" s="21" t="str">
        <f>IFERROR(__xludf.DUMMYFUNCTION("IF(B218="""","" "",IMPORTRANGE(B218,""'export'!f1""))")," ")</f>
        <v> </v>
      </c>
      <c r="M218" s="26" t="str">
        <f>IFERROR(__xludf.DUMMYFUNCTION("IF(B218="""","" "",IMPORTRANGE(B218,""'export'!h3""))")," ")</f>
        <v> </v>
      </c>
      <c r="N218" s="27" t="str">
        <f>IFERROR(__xludf.DUMMYFUNCTION("IF(B218="""","" "",IMPORTRANGE(B218,""'export'!h1""))")," ")</f>
        <v> </v>
      </c>
      <c r="O218" s="28" t="str">
        <f>IFERROR(__xludf.DUMMYFUNCTION("IF(B218="""","" "",IMPORTRANGE(B218,""'export'!h11""))")," ")</f>
        <v> </v>
      </c>
      <c r="P218" s="29" t="str">
        <f>IFERROR(__xludf.DUMMYFUNCTION("IF(B218="""","" "",IMPORTRANGE(B218,""'export'!i1""))")," ")</f>
        <v> </v>
      </c>
      <c r="Q218" s="30" t="str">
        <f>IFERROR(__xludf.DUMMYFUNCTION("IF(B218="""","" "",IMPORTRANGE(B218,""'export'!i13""))")," ")</f>
        <v> </v>
      </c>
      <c r="R218" s="31" t="str">
        <f t="shared" si="2"/>
        <v/>
      </c>
      <c r="S218" s="32" t="str">
        <f>IFERROR(__xludf.DUMMYFUNCTION("IF(B218="""","" "",IMPORTRANGE(B218,""'export'!g1""))")," ")</f>
        <v> </v>
      </c>
    </row>
    <row r="219">
      <c r="A219" s="18"/>
      <c r="B219" s="35"/>
      <c r="C219" s="20" t="str">
        <f>IFERROR(__xludf.DUMMYFUNCTION("IF(B219="""","" "",IMPORTRANGE(B219,""'Export'!m1""))")," ")</f>
        <v> </v>
      </c>
      <c r="D219" s="21" t="str">
        <f t="shared" si="1"/>
        <v> ,  ,  </v>
      </c>
      <c r="E219" s="22" t="str">
        <f>IFERROR(__xludf.DUMMYFUNCTION("IF(B219="""","" "",IMPORTRANGE(B219,""'EXPORT'!L1""))")," ")</f>
        <v> </v>
      </c>
      <c r="F219" s="23" t="str">
        <f>IFERROR(__xludf.DUMMYFUNCTION("IF(B219="""","" "",IMPORTRANGE(B219,""'Export'!a1""))")," ")</f>
        <v> </v>
      </c>
      <c r="G219" s="23" t="str">
        <f>IFERROR(__xludf.DUMMYFUNCTION("IF(B219="""","" "",IMPORTRANGE(B219,""'export'!b1""))")," ")</f>
        <v> </v>
      </c>
      <c r="H219" s="23" t="str">
        <f>IFERROR(__xludf.DUMMYFUNCTION("IF(B219="""","" "",IMPORTRANGE(B219,""'export'!c1""))")," ")</f>
        <v> </v>
      </c>
      <c r="I219" s="24" t="str">
        <f>IFERROR(__xludf.DUMMYFUNCTION("IF(B219="""","" "",IMPORTRANGE(B219,""'export'!d1""))")," ")</f>
        <v> </v>
      </c>
      <c r="J219" s="25" t="str">
        <f>IFERROR(__xludf.DUMMYFUNCTION("IF(B219="""","" "",IMPORTRANGE(B219,""'export'!e1""))")," ")</f>
        <v> </v>
      </c>
      <c r="K219" s="25"/>
      <c r="L219" s="21" t="str">
        <f>IFERROR(__xludf.DUMMYFUNCTION("IF(B219="""","" "",IMPORTRANGE(B219,""'export'!f1""))")," ")</f>
        <v> </v>
      </c>
      <c r="M219" s="26" t="str">
        <f>IFERROR(__xludf.DUMMYFUNCTION("IF(B219="""","" "",IMPORTRANGE(B219,""'export'!h3""))")," ")</f>
        <v> </v>
      </c>
      <c r="N219" s="27" t="str">
        <f>IFERROR(__xludf.DUMMYFUNCTION("IF(B219="""","" "",IMPORTRANGE(B219,""'export'!h1""))")," ")</f>
        <v> </v>
      </c>
      <c r="O219" s="28" t="str">
        <f>IFERROR(__xludf.DUMMYFUNCTION("IF(B219="""","" "",IMPORTRANGE(B219,""'export'!h11""))")," ")</f>
        <v> </v>
      </c>
      <c r="P219" s="29" t="str">
        <f>IFERROR(__xludf.DUMMYFUNCTION("IF(B219="""","" "",IMPORTRANGE(B219,""'export'!i1""))")," ")</f>
        <v> </v>
      </c>
      <c r="Q219" s="30" t="str">
        <f>IFERROR(__xludf.DUMMYFUNCTION("IF(B219="""","" "",IMPORTRANGE(B219,""'export'!i13""))")," ")</f>
        <v> </v>
      </c>
      <c r="R219" s="31" t="str">
        <f t="shared" si="2"/>
        <v/>
      </c>
      <c r="S219" s="32" t="str">
        <f>IFERROR(__xludf.DUMMYFUNCTION("IF(B219="""","" "",IMPORTRANGE(B219,""'export'!g1""))")," ")</f>
        <v> </v>
      </c>
    </row>
    <row r="220">
      <c r="A220" s="18"/>
      <c r="B220" s="35"/>
      <c r="C220" s="20" t="str">
        <f>IFERROR(__xludf.DUMMYFUNCTION("IF(B220="""","" "",IMPORTRANGE(B220,""'Export'!m1""))")," ")</f>
        <v> </v>
      </c>
      <c r="D220" s="21" t="str">
        <f t="shared" si="1"/>
        <v> ,  ,  </v>
      </c>
      <c r="E220" s="22" t="str">
        <f>IFERROR(__xludf.DUMMYFUNCTION("IF(B220="""","" "",IMPORTRANGE(B220,""'EXPORT'!L1""))")," ")</f>
        <v> </v>
      </c>
      <c r="F220" s="23" t="str">
        <f>IFERROR(__xludf.DUMMYFUNCTION("IF(B220="""","" "",IMPORTRANGE(B220,""'Export'!a1""))")," ")</f>
        <v> </v>
      </c>
      <c r="G220" s="23" t="str">
        <f>IFERROR(__xludf.DUMMYFUNCTION("IF(B220="""","" "",IMPORTRANGE(B220,""'export'!b1""))")," ")</f>
        <v> </v>
      </c>
      <c r="H220" s="23" t="str">
        <f>IFERROR(__xludf.DUMMYFUNCTION("IF(B220="""","" "",IMPORTRANGE(B220,""'export'!c1""))")," ")</f>
        <v> </v>
      </c>
      <c r="I220" s="24" t="str">
        <f>IFERROR(__xludf.DUMMYFUNCTION("IF(B220="""","" "",IMPORTRANGE(B220,""'export'!d1""))")," ")</f>
        <v> </v>
      </c>
      <c r="J220" s="25" t="str">
        <f>IFERROR(__xludf.DUMMYFUNCTION("IF(B220="""","" "",IMPORTRANGE(B220,""'export'!e1""))")," ")</f>
        <v> </v>
      </c>
      <c r="K220" s="25"/>
      <c r="L220" s="21" t="str">
        <f>IFERROR(__xludf.DUMMYFUNCTION("IF(B220="""","" "",IMPORTRANGE(B220,""'export'!f1""))")," ")</f>
        <v> </v>
      </c>
      <c r="M220" s="26" t="str">
        <f>IFERROR(__xludf.DUMMYFUNCTION("IF(B220="""","" "",IMPORTRANGE(B220,""'export'!h3""))")," ")</f>
        <v> </v>
      </c>
      <c r="N220" s="27" t="str">
        <f>IFERROR(__xludf.DUMMYFUNCTION("IF(B220="""","" "",IMPORTRANGE(B220,""'export'!h1""))")," ")</f>
        <v> </v>
      </c>
      <c r="O220" s="28" t="str">
        <f>IFERROR(__xludf.DUMMYFUNCTION("IF(B220="""","" "",IMPORTRANGE(B220,""'export'!h11""))")," ")</f>
        <v> </v>
      </c>
      <c r="P220" s="29" t="str">
        <f>IFERROR(__xludf.DUMMYFUNCTION("IF(B220="""","" "",IMPORTRANGE(B220,""'export'!i1""))")," ")</f>
        <v> </v>
      </c>
      <c r="Q220" s="30" t="str">
        <f>IFERROR(__xludf.DUMMYFUNCTION("IF(B220="""","" "",IMPORTRANGE(B220,""'export'!i13""))")," ")</f>
        <v> </v>
      </c>
      <c r="R220" s="31" t="str">
        <f t="shared" si="2"/>
        <v/>
      </c>
      <c r="S220" s="32" t="str">
        <f>IFERROR(__xludf.DUMMYFUNCTION("IF(B220="""","" "",IMPORTRANGE(B220,""'export'!g1""))")," ")</f>
        <v> </v>
      </c>
    </row>
    <row r="221">
      <c r="A221" s="18"/>
      <c r="B221" s="35"/>
      <c r="C221" s="20" t="str">
        <f>IFERROR(__xludf.DUMMYFUNCTION("IF(B221="""","" "",IMPORTRANGE(B221,""'Export'!m1""))")," ")</f>
        <v> </v>
      </c>
      <c r="D221" s="21" t="str">
        <f t="shared" si="1"/>
        <v> ,  ,  </v>
      </c>
      <c r="E221" s="22" t="str">
        <f>IFERROR(__xludf.DUMMYFUNCTION("IF(B221="""","" "",IMPORTRANGE(B221,""'EXPORT'!L1""))")," ")</f>
        <v> </v>
      </c>
      <c r="F221" s="23" t="str">
        <f>IFERROR(__xludf.DUMMYFUNCTION("IF(B221="""","" "",IMPORTRANGE(B221,""'Export'!a1""))")," ")</f>
        <v> </v>
      </c>
      <c r="G221" s="23" t="str">
        <f>IFERROR(__xludf.DUMMYFUNCTION("IF(B221="""","" "",IMPORTRANGE(B221,""'export'!b1""))")," ")</f>
        <v> </v>
      </c>
      <c r="H221" s="23" t="str">
        <f>IFERROR(__xludf.DUMMYFUNCTION("IF(B221="""","" "",IMPORTRANGE(B221,""'export'!c1""))")," ")</f>
        <v> </v>
      </c>
      <c r="I221" s="24" t="str">
        <f>IFERROR(__xludf.DUMMYFUNCTION("IF(B221="""","" "",IMPORTRANGE(B221,""'export'!d1""))")," ")</f>
        <v> </v>
      </c>
      <c r="J221" s="25" t="str">
        <f>IFERROR(__xludf.DUMMYFUNCTION("IF(B221="""","" "",IMPORTRANGE(B221,""'export'!e1""))")," ")</f>
        <v> </v>
      </c>
      <c r="K221" s="25"/>
      <c r="L221" s="21" t="str">
        <f>IFERROR(__xludf.DUMMYFUNCTION("IF(B221="""","" "",IMPORTRANGE(B221,""'export'!f1""))")," ")</f>
        <v> </v>
      </c>
      <c r="M221" s="26" t="str">
        <f>IFERROR(__xludf.DUMMYFUNCTION("IF(B221="""","" "",IMPORTRANGE(B221,""'export'!h3""))")," ")</f>
        <v> </v>
      </c>
      <c r="N221" s="27" t="str">
        <f>IFERROR(__xludf.DUMMYFUNCTION("IF(B221="""","" "",IMPORTRANGE(B221,""'export'!h1""))")," ")</f>
        <v> </v>
      </c>
      <c r="O221" s="28" t="str">
        <f>IFERROR(__xludf.DUMMYFUNCTION("IF(B221="""","" "",IMPORTRANGE(B221,""'export'!h11""))")," ")</f>
        <v> </v>
      </c>
      <c r="P221" s="29" t="str">
        <f>IFERROR(__xludf.DUMMYFUNCTION("IF(B221="""","" "",IMPORTRANGE(B221,""'export'!i1""))")," ")</f>
        <v> </v>
      </c>
      <c r="Q221" s="30" t="str">
        <f>IFERROR(__xludf.DUMMYFUNCTION("IF(B221="""","" "",IMPORTRANGE(B221,""'export'!i13""))")," ")</f>
        <v> </v>
      </c>
      <c r="R221" s="31" t="str">
        <f t="shared" si="2"/>
        <v/>
      </c>
      <c r="S221" s="32" t="str">
        <f>IFERROR(__xludf.DUMMYFUNCTION("IF(B221="""","" "",IMPORTRANGE(B221,""'export'!g1""))")," ")</f>
        <v> </v>
      </c>
    </row>
    <row r="222">
      <c r="A222" s="18"/>
      <c r="B222" s="35"/>
      <c r="C222" s="20" t="str">
        <f>IFERROR(__xludf.DUMMYFUNCTION("IF(B222="""","" "",IMPORTRANGE(B222,""'Export'!m1""))")," ")</f>
        <v> </v>
      </c>
      <c r="D222" s="21" t="str">
        <f t="shared" si="1"/>
        <v> ,  ,  </v>
      </c>
      <c r="E222" s="22" t="str">
        <f>IFERROR(__xludf.DUMMYFUNCTION("IF(B222="""","" "",IMPORTRANGE(B222,""'EXPORT'!L1""))")," ")</f>
        <v> </v>
      </c>
      <c r="F222" s="23" t="str">
        <f>IFERROR(__xludf.DUMMYFUNCTION("IF(B222="""","" "",IMPORTRANGE(B222,""'Export'!a1""))")," ")</f>
        <v> </v>
      </c>
      <c r="G222" s="23" t="str">
        <f>IFERROR(__xludf.DUMMYFUNCTION("IF(B222="""","" "",IMPORTRANGE(B222,""'export'!b1""))")," ")</f>
        <v> </v>
      </c>
      <c r="H222" s="23" t="str">
        <f>IFERROR(__xludf.DUMMYFUNCTION("IF(B222="""","" "",IMPORTRANGE(B222,""'export'!c1""))")," ")</f>
        <v> </v>
      </c>
      <c r="I222" s="24" t="str">
        <f>IFERROR(__xludf.DUMMYFUNCTION("IF(B222="""","" "",IMPORTRANGE(B222,""'export'!d1""))")," ")</f>
        <v> </v>
      </c>
      <c r="J222" s="25" t="str">
        <f>IFERROR(__xludf.DUMMYFUNCTION("IF(B222="""","" "",IMPORTRANGE(B222,""'export'!e1""))")," ")</f>
        <v> </v>
      </c>
      <c r="K222" s="25"/>
      <c r="L222" s="21" t="str">
        <f>IFERROR(__xludf.DUMMYFUNCTION("IF(B222="""","" "",IMPORTRANGE(B222,""'export'!f1""))")," ")</f>
        <v> </v>
      </c>
      <c r="M222" s="26" t="str">
        <f>IFERROR(__xludf.DUMMYFUNCTION("IF(B222="""","" "",IMPORTRANGE(B222,""'export'!h3""))")," ")</f>
        <v> </v>
      </c>
      <c r="N222" s="27" t="str">
        <f>IFERROR(__xludf.DUMMYFUNCTION("IF(B222="""","" "",IMPORTRANGE(B222,""'export'!h1""))")," ")</f>
        <v> </v>
      </c>
      <c r="O222" s="28" t="str">
        <f>IFERROR(__xludf.DUMMYFUNCTION("IF(B222="""","" "",IMPORTRANGE(B222,""'export'!h11""))")," ")</f>
        <v> </v>
      </c>
      <c r="P222" s="29" t="str">
        <f>IFERROR(__xludf.DUMMYFUNCTION("IF(B222="""","" "",IMPORTRANGE(B222,""'export'!i1""))")," ")</f>
        <v> </v>
      </c>
      <c r="Q222" s="30" t="str">
        <f>IFERROR(__xludf.DUMMYFUNCTION("IF(B222="""","" "",IMPORTRANGE(B222,""'export'!i13""))")," ")</f>
        <v> </v>
      </c>
      <c r="R222" s="31" t="str">
        <f t="shared" si="2"/>
        <v/>
      </c>
      <c r="S222" s="32" t="str">
        <f>IFERROR(__xludf.DUMMYFUNCTION("IF(B222="""","" "",IMPORTRANGE(B222,""'export'!g1""))")," ")</f>
        <v> </v>
      </c>
    </row>
    <row r="223">
      <c r="A223" s="18"/>
      <c r="B223" s="35"/>
      <c r="C223" s="20" t="str">
        <f>IFERROR(__xludf.DUMMYFUNCTION("IF(B223="""","" "",IMPORTRANGE(B223,""'Export'!m1""))")," ")</f>
        <v> </v>
      </c>
      <c r="D223" s="21" t="str">
        <f t="shared" si="1"/>
        <v> ,  ,  </v>
      </c>
      <c r="E223" s="22" t="str">
        <f>IFERROR(__xludf.DUMMYFUNCTION("IF(B223="""","" "",IMPORTRANGE(B223,""'EXPORT'!L1""))")," ")</f>
        <v> </v>
      </c>
      <c r="F223" s="23" t="str">
        <f>IFERROR(__xludf.DUMMYFUNCTION("IF(B223="""","" "",IMPORTRANGE(B223,""'Export'!a1""))")," ")</f>
        <v> </v>
      </c>
      <c r="G223" s="23" t="str">
        <f>IFERROR(__xludf.DUMMYFUNCTION("IF(B223="""","" "",IMPORTRANGE(B223,""'export'!b1""))")," ")</f>
        <v> </v>
      </c>
      <c r="H223" s="23" t="str">
        <f>IFERROR(__xludf.DUMMYFUNCTION("IF(B223="""","" "",IMPORTRANGE(B223,""'export'!c1""))")," ")</f>
        <v> </v>
      </c>
      <c r="I223" s="24" t="str">
        <f>IFERROR(__xludf.DUMMYFUNCTION("IF(B223="""","" "",IMPORTRANGE(B223,""'export'!d1""))")," ")</f>
        <v> </v>
      </c>
      <c r="J223" s="25" t="str">
        <f>IFERROR(__xludf.DUMMYFUNCTION("IF(B223="""","" "",IMPORTRANGE(B223,""'export'!e1""))")," ")</f>
        <v> </v>
      </c>
      <c r="K223" s="25"/>
      <c r="L223" s="21" t="str">
        <f>IFERROR(__xludf.DUMMYFUNCTION("IF(B223="""","" "",IMPORTRANGE(B223,""'export'!f1""))")," ")</f>
        <v> </v>
      </c>
      <c r="M223" s="26" t="str">
        <f>IFERROR(__xludf.DUMMYFUNCTION("IF(B223="""","" "",IMPORTRANGE(B223,""'export'!h3""))")," ")</f>
        <v> </v>
      </c>
      <c r="N223" s="27" t="str">
        <f>IFERROR(__xludf.DUMMYFUNCTION("IF(B223="""","" "",IMPORTRANGE(B223,""'export'!h1""))")," ")</f>
        <v> </v>
      </c>
      <c r="O223" s="28" t="str">
        <f>IFERROR(__xludf.DUMMYFUNCTION("IF(B223="""","" "",IMPORTRANGE(B223,""'export'!h11""))")," ")</f>
        <v> </v>
      </c>
      <c r="P223" s="29" t="str">
        <f>IFERROR(__xludf.DUMMYFUNCTION("IF(B223="""","" "",IMPORTRANGE(B223,""'export'!i1""))")," ")</f>
        <v> </v>
      </c>
      <c r="Q223" s="30" t="str">
        <f>IFERROR(__xludf.DUMMYFUNCTION("IF(B223="""","" "",IMPORTRANGE(B223,""'export'!i13""))")," ")</f>
        <v> </v>
      </c>
      <c r="R223" s="31" t="str">
        <f t="shared" si="2"/>
        <v/>
      </c>
      <c r="S223" s="32" t="str">
        <f>IFERROR(__xludf.DUMMYFUNCTION("IF(B223="""","" "",IMPORTRANGE(B223,""'export'!g1""))")," ")</f>
        <v> </v>
      </c>
    </row>
    <row r="224">
      <c r="A224" s="18"/>
      <c r="B224" s="35"/>
      <c r="C224" s="20" t="str">
        <f>IFERROR(__xludf.DUMMYFUNCTION("IF(B224="""","" "",IMPORTRANGE(B224,""'Export'!m1""))")," ")</f>
        <v> </v>
      </c>
      <c r="D224" s="21" t="str">
        <f t="shared" si="1"/>
        <v> ,  ,  </v>
      </c>
      <c r="E224" s="22" t="str">
        <f>IFERROR(__xludf.DUMMYFUNCTION("IF(B224="""","" "",IMPORTRANGE(B224,""'EXPORT'!L1""))")," ")</f>
        <v> </v>
      </c>
      <c r="F224" s="23" t="str">
        <f>IFERROR(__xludf.DUMMYFUNCTION("IF(B224="""","" "",IMPORTRANGE(B224,""'Export'!a1""))")," ")</f>
        <v> </v>
      </c>
      <c r="G224" s="23" t="str">
        <f>IFERROR(__xludf.DUMMYFUNCTION("IF(B224="""","" "",IMPORTRANGE(B224,""'export'!b1""))")," ")</f>
        <v> </v>
      </c>
      <c r="H224" s="23" t="str">
        <f>IFERROR(__xludf.DUMMYFUNCTION("IF(B224="""","" "",IMPORTRANGE(B224,""'export'!c1""))")," ")</f>
        <v> </v>
      </c>
      <c r="I224" s="24" t="str">
        <f>IFERROR(__xludf.DUMMYFUNCTION("IF(B224="""","" "",IMPORTRANGE(B224,""'export'!d1""))")," ")</f>
        <v> </v>
      </c>
      <c r="J224" s="25" t="str">
        <f>IFERROR(__xludf.DUMMYFUNCTION("IF(B224="""","" "",IMPORTRANGE(B224,""'export'!e1""))")," ")</f>
        <v> </v>
      </c>
      <c r="K224" s="25"/>
      <c r="L224" s="21" t="str">
        <f>IFERROR(__xludf.DUMMYFUNCTION("IF(B224="""","" "",IMPORTRANGE(B224,""'export'!f1""))")," ")</f>
        <v> </v>
      </c>
      <c r="M224" s="26" t="str">
        <f>IFERROR(__xludf.DUMMYFUNCTION("IF(B224="""","" "",IMPORTRANGE(B224,""'export'!h3""))")," ")</f>
        <v> </v>
      </c>
      <c r="N224" s="27" t="str">
        <f>IFERROR(__xludf.DUMMYFUNCTION("IF(B224="""","" "",IMPORTRANGE(B224,""'export'!h1""))")," ")</f>
        <v> </v>
      </c>
      <c r="O224" s="28" t="str">
        <f>IFERROR(__xludf.DUMMYFUNCTION("IF(B224="""","" "",IMPORTRANGE(B224,""'export'!h11""))")," ")</f>
        <v> </v>
      </c>
      <c r="P224" s="29" t="str">
        <f>IFERROR(__xludf.DUMMYFUNCTION("IF(B224="""","" "",IMPORTRANGE(B224,""'export'!i1""))")," ")</f>
        <v> </v>
      </c>
      <c r="Q224" s="30" t="str">
        <f>IFERROR(__xludf.DUMMYFUNCTION("IF(B224="""","" "",IMPORTRANGE(B224,""'export'!i13""))")," ")</f>
        <v> </v>
      </c>
      <c r="R224" s="31" t="str">
        <f t="shared" si="2"/>
        <v/>
      </c>
      <c r="S224" s="32" t="str">
        <f>IFERROR(__xludf.DUMMYFUNCTION("IF(B224="""","" "",IMPORTRANGE(B224,""'export'!g1""))")," ")</f>
        <v> </v>
      </c>
    </row>
    <row r="225">
      <c r="A225" s="18"/>
      <c r="B225" s="35"/>
      <c r="C225" s="20" t="str">
        <f>IFERROR(__xludf.DUMMYFUNCTION("IF(B225="""","" "",IMPORTRANGE(B225,""'Export'!m1""))")," ")</f>
        <v> </v>
      </c>
      <c r="D225" s="21" t="str">
        <f t="shared" si="1"/>
        <v> ,  ,  </v>
      </c>
      <c r="E225" s="22" t="str">
        <f>IFERROR(__xludf.DUMMYFUNCTION("IF(B225="""","" "",IMPORTRANGE(B225,""'EXPORT'!L1""))")," ")</f>
        <v> </v>
      </c>
      <c r="F225" s="23" t="str">
        <f>IFERROR(__xludf.DUMMYFUNCTION("IF(B225="""","" "",IMPORTRANGE(B225,""'Export'!a1""))")," ")</f>
        <v> </v>
      </c>
      <c r="G225" s="23" t="str">
        <f>IFERROR(__xludf.DUMMYFUNCTION("IF(B225="""","" "",IMPORTRANGE(B225,""'export'!b1""))")," ")</f>
        <v> </v>
      </c>
      <c r="H225" s="23" t="str">
        <f>IFERROR(__xludf.DUMMYFUNCTION("IF(B225="""","" "",IMPORTRANGE(B225,""'export'!c1""))")," ")</f>
        <v> </v>
      </c>
      <c r="I225" s="24" t="str">
        <f>IFERROR(__xludf.DUMMYFUNCTION("IF(B225="""","" "",IMPORTRANGE(B225,""'export'!d1""))")," ")</f>
        <v> </v>
      </c>
      <c r="J225" s="25" t="str">
        <f>IFERROR(__xludf.DUMMYFUNCTION("IF(B225="""","" "",IMPORTRANGE(B225,""'export'!e1""))")," ")</f>
        <v> </v>
      </c>
      <c r="K225" s="25"/>
      <c r="L225" s="21" t="str">
        <f>IFERROR(__xludf.DUMMYFUNCTION("IF(B225="""","" "",IMPORTRANGE(B225,""'export'!f1""))")," ")</f>
        <v> </v>
      </c>
      <c r="M225" s="26" t="str">
        <f>IFERROR(__xludf.DUMMYFUNCTION("IF(B225="""","" "",IMPORTRANGE(B225,""'export'!h3""))")," ")</f>
        <v> </v>
      </c>
      <c r="N225" s="27" t="str">
        <f>IFERROR(__xludf.DUMMYFUNCTION("IF(B225="""","" "",IMPORTRANGE(B225,""'export'!h1""))")," ")</f>
        <v> </v>
      </c>
      <c r="O225" s="28" t="str">
        <f>IFERROR(__xludf.DUMMYFUNCTION("IF(B225="""","" "",IMPORTRANGE(B225,""'export'!h11""))")," ")</f>
        <v> </v>
      </c>
      <c r="P225" s="29" t="str">
        <f>IFERROR(__xludf.DUMMYFUNCTION("IF(B225="""","" "",IMPORTRANGE(B225,""'export'!i1""))")," ")</f>
        <v> </v>
      </c>
      <c r="Q225" s="30" t="str">
        <f>IFERROR(__xludf.DUMMYFUNCTION("IF(B225="""","" "",IMPORTRANGE(B225,""'export'!i13""))")," ")</f>
        <v> </v>
      </c>
      <c r="R225" s="31" t="str">
        <f t="shared" si="2"/>
        <v/>
      </c>
      <c r="S225" s="32" t="str">
        <f>IFERROR(__xludf.DUMMYFUNCTION("IF(B225="""","" "",IMPORTRANGE(B225,""'export'!g1""))")," ")</f>
        <v> </v>
      </c>
    </row>
    <row r="226">
      <c r="A226" s="18"/>
      <c r="B226" s="35"/>
      <c r="C226" s="20" t="str">
        <f>IFERROR(__xludf.DUMMYFUNCTION("IF(B226="""","" "",IMPORTRANGE(B226,""'Export'!m1""))")," ")</f>
        <v> </v>
      </c>
      <c r="D226" s="21" t="str">
        <f t="shared" si="1"/>
        <v> ,  ,  </v>
      </c>
      <c r="E226" s="22" t="str">
        <f>IFERROR(__xludf.DUMMYFUNCTION("IF(B226="""","" "",IMPORTRANGE(B226,""'EXPORT'!L1""))")," ")</f>
        <v> </v>
      </c>
      <c r="F226" s="23" t="str">
        <f>IFERROR(__xludf.DUMMYFUNCTION("IF(B226="""","" "",IMPORTRANGE(B226,""'Export'!a1""))")," ")</f>
        <v> </v>
      </c>
      <c r="G226" s="23" t="str">
        <f>IFERROR(__xludf.DUMMYFUNCTION("IF(B226="""","" "",IMPORTRANGE(B226,""'export'!b1""))")," ")</f>
        <v> </v>
      </c>
      <c r="H226" s="23" t="str">
        <f>IFERROR(__xludf.DUMMYFUNCTION("IF(B226="""","" "",IMPORTRANGE(B226,""'export'!c1""))")," ")</f>
        <v> </v>
      </c>
      <c r="I226" s="24" t="str">
        <f>IFERROR(__xludf.DUMMYFUNCTION("IF(B226="""","" "",IMPORTRANGE(B226,""'export'!d1""))")," ")</f>
        <v> </v>
      </c>
      <c r="J226" s="25" t="str">
        <f>IFERROR(__xludf.DUMMYFUNCTION("IF(B226="""","" "",IMPORTRANGE(B226,""'export'!e1""))")," ")</f>
        <v> </v>
      </c>
      <c r="K226" s="25"/>
      <c r="L226" s="21" t="str">
        <f>IFERROR(__xludf.DUMMYFUNCTION("IF(B226="""","" "",IMPORTRANGE(B226,""'export'!f1""))")," ")</f>
        <v> </v>
      </c>
      <c r="M226" s="26" t="str">
        <f>IFERROR(__xludf.DUMMYFUNCTION("IF(B226="""","" "",IMPORTRANGE(B226,""'export'!h3""))")," ")</f>
        <v> </v>
      </c>
      <c r="N226" s="27" t="str">
        <f>IFERROR(__xludf.DUMMYFUNCTION("IF(B226="""","" "",IMPORTRANGE(B226,""'export'!h1""))")," ")</f>
        <v> </v>
      </c>
      <c r="O226" s="28" t="str">
        <f>IFERROR(__xludf.DUMMYFUNCTION("IF(B226="""","" "",IMPORTRANGE(B226,""'export'!h11""))")," ")</f>
        <v> </v>
      </c>
      <c r="P226" s="29" t="str">
        <f>IFERROR(__xludf.DUMMYFUNCTION("IF(B226="""","" "",IMPORTRANGE(B226,""'export'!i1""))")," ")</f>
        <v> </v>
      </c>
      <c r="Q226" s="30" t="str">
        <f>IFERROR(__xludf.DUMMYFUNCTION("IF(B226="""","" "",IMPORTRANGE(B226,""'export'!i13""))")," ")</f>
        <v> </v>
      </c>
      <c r="R226" s="31" t="str">
        <f t="shared" si="2"/>
        <v/>
      </c>
      <c r="S226" s="32" t="str">
        <f>IFERROR(__xludf.DUMMYFUNCTION("IF(B226="""","" "",IMPORTRANGE(B226,""'export'!g1""))")," ")</f>
        <v> </v>
      </c>
    </row>
    <row r="227">
      <c r="A227" s="18"/>
      <c r="B227" s="35"/>
      <c r="C227" s="20" t="str">
        <f>IFERROR(__xludf.DUMMYFUNCTION("IF(B227="""","" "",IMPORTRANGE(B227,""'Export'!m1""))")," ")</f>
        <v> </v>
      </c>
      <c r="D227" s="21" t="str">
        <f t="shared" si="1"/>
        <v> ,  ,  </v>
      </c>
      <c r="E227" s="22" t="str">
        <f>IFERROR(__xludf.DUMMYFUNCTION("IF(B227="""","" "",IMPORTRANGE(B227,""'EXPORT'!L1""))")," ")</f>
        <v> </v>
      </c>
      <c r="F227" s="23" t="str">
        <f>IFERROR(__xludf.DUMMYFUNCTION("IF(B227="""","" "",IMPORTRANGE(B227,""'Export'!a1""))")," ")</f>
        <v> </v>
      </c>
      <c r="G227" s="23" t="str">
        <f>IFERROR(__xludf.DUMMYFUNCTION("IF(B227="""","" "",IMPORTRANGE(B227,""'export'!b1""))")," ")</f>
        <v> </v>
      </c>
      <c r="H227" s="23" t="str">
        <f>IFERROR(__xludf.DUMMYFUNCTION("IF(B227="""","" "",IMPORTRANGE(B227,""'export'!c1""))")," ")</f>
        <v> </v>
      </c>
      <c r="I227" s="24" t="str">
        <f>IFERROR(__xludf.DUMMYFUNCTION("IF(B227="""","" "",IMPORTRANGE(B227,""'export'!d1""))")," ")</f>
        <v> </v>
      </c>
      <c r="J227" s="25" t="str">
        <f>IFERROR(__xludf.DUMMYFUNCTION("IF(B227="""","" "",IMPORTRANGE(B227,""'export'!e1""))")," ")</f>
        <v> </v>
      </c>
      <c r="K227" s="25"/>
      <c r="L227" s="21" t="str">
        <f>IFERROR(__xludf.DUMMYFUNCTION("IF(B227="""","" "",IMPORTRANGE(B227,""'export'!f1""))")," ")</f>
        <v> </v>
      </c>
      <c r="M227" s="26" t="str">
        <f>IFERROR(__xludf.DUMMYFUNCTION("IF(B227="""","" "",IMPORTRANGE(B227,""'export'!h3""))")," ")</f>
        <v> </v>
      </c>
      <c r="N227" s="27" t="str">
        <f>IFERROR(__xludf.DUMMYFUNCTION("IF(B227="""","" "",IMPORTRANGE(B227,""'export'!h1""))")," ")</f>
        <v> </v>
      </c>
      <c r="O227" s="28" t="str">
        <f>IFERROR(__xludf.DUMMYFUNCTION("IF(B227="""","" "",IMPORTRANGE(B227,""'export'!h11""))")," ")</f>
        <v> </v>
      </c>
      <c r="P227" s="29" t="str">
        <f>IFERROR(__xludf.DUMMYFUNCTION("IF(B227="""","" "",IMPORTRANGE(B227,""'export'!i1""))")," ")</f>
        <v> </v>
      </c>
      <c r="Q227" s="30" t="str">
        <f>IFERROR(__xludf.DUMMYFUNCTION("IF(B227="""","" "",IMPORTRANGE(B227,""'export'!i13""))")," ")</f>
        <v> </v>
      </c>
      <c r="R227" s="31" t="str">
        <f t="shared" si="2"/>
        <v/>
      </c>
      <c r="S227" s="32" t="str">
        <f>IFERROR(__xludf.DUMMYFUNCTION("IF(B227="""","" "",IMPORTRANGE(B227,""'export'!g1""))")," ")</f>
        <v> </v>
      </c>
    </row>
    <row r="228">
      <c r="A228" s="18"/>
      <c r="B228" s="35"/>
      <c r="C228" s="20" t="str">
        <f>IFERROR(__xludf.DUMMYFUNCTION("IF(B228="""","" "",IMPORTRANGE(B228,""'Export'!m1""))")," ")</f>
        <v> </v>
      </c>
      <c r="D228" s="21" t="str">
        <f t="shared" si="1"/>
        <v> ,  ,  </v>
      </c>
      <c r="E228" s="22" t="str">
        <f>IFERROR(__xludf.DUMMYFUNCTION("IF(B228="""","" "",IMPORTRANGE(B228,""'EXPORT'!L1""))")," ")</f>
        <v> </v>
      </c>
      <c r="F228" s="23" t="str">
        <f>IFERROR(__xludf.DUMMYFUNCTION("IF(B228="""","" "",IMPORTRANGE(B228,""'Export'!a1""))")," ")</f>
        <v> </v>
      </c>
      <c r="G228" s="23" t="str">
        <f>IFERROR(__xludf.DUMMYFUNCTION("IF(B228="""","" "",IMPORTRANGE(B228,""'export'!b1""))")," ")</f>
        <v> </v>
      </c>
      <c r="H228" s="23" t="str">
        <f>IFERROR(__xludf.DUMMYFUNCTION("IF(B228="""","" "",IMPORTRANGE(B228,""'export'!c1""))")," ")</f>
        <v> </v>
      </c>
      <c r="I228" s="24" t="str">
        <f>IFERROR(__xludf.DUMMYFUNCTION("IF(B228="""","" "",IMPORTRANGE(B228,""'export'!d1""))")," ")</f>
        <v> </v>
      </c>
      <c r="J228" s="25" t="str">
        <f>IFERROR(__xludf.DUMMYFUNCTION("IF(B228="""","" "",IMPORTRANGE(B228,""'export'!e1""))")," ")</f>
        <v> </v>
      </c>
      <c r="K228" s="25"/>
      <c r="L228" s="21" t="str">
        <f>IFERROR(__xludf.DUMMYFUNCTION("IF(B228="""","" "",IMPORTRANGE(B228,""'export'!f1""))")," ")</f>
        <v> </v>
      </c>
      <c r="M228" s="26" t="str">
        <f>IFERROR(__xludf.DUMMYFUNCTION("IF(B228="""","" "",IMPORTRANGE(B228,""'export'!h3""))")," ")</f>
        <v> </v>
      </c>
      <c r="N228" s="27" t="str">
        <f>IFERROR(__xludf.DUMMYFUNCTION("IF(B228="""","" "",IMPORTRANGE(B228,""'export'!h1""))")," ")</f>
        <v> </v>
      </c>
      <c r="O228" s="28" t="str">
        <f>IFERROR(__xludf.DUMMYFUNCTION("IF(B228="""","" "",IMPORTRANGE(B228,""'export'!h11""))")," ")</f>
        <v> </v>
      </c>
      <c r="P228" s="29" t="str">
        <f>IFERROR(__xludf.DUMMYFUNCTION("IF(B228="""","" "",IMPORTRANGE(B228,""'export'!i1""))")," ")</f>
        <v> </v>
      </c>
      <c r="Q228" s="30" t="str">
        <f>IFERROR(__xludf.DUMMYFUNCTION("IF(B228="""","" "",IMPORTRANGE(B228,""'export'!i13""))")," ")</f>
        <v> </v>
      </c>
      <c r="R228" s="31" t="str">
        <f t="shared" si="2"/>
        <v/>
      </c>
      <c r="S228" s="32" t="str">
        <f>IFERROR(__xludf.DUMMYFUNCTION("IF(B228="""","" "",IMPORTRANGE(B228,""'export'!g1""))")," ")</f>
        <v> </v>
      </c>
    </row>
    <row r="229">
      <c r="A229" s="18"/>
      <c r="B229" s="35"/>
      <c r="C229" s="20" t="str">
        <f>IFERROR(__xludf.DUMMYFUNCTION("IF(B229="""","" "",IMPORTRANGE(B229,""'Export'!m1""))")," ")</f>
        <v> </v>
      </c>
      <c r="D229" s="21" t="str">
        <f t="shared" si="1"/>
        <v> ,  ,  </v>
      </c>
      <c r="E229" s="22" t="str">
        <f>IFERROR(__xludf.DUMMYFUNCTION("IF(B229="""","" "",IMPORTRANGE(B229,""'EXPORT'!L1""))")," ")</f>
        <v> </v>
      </c>
      <c r="F229" s="23" t="str">
        <f>IFERROR(__xludf.DUMMYFUNCTION("IF(B229="""","" "",IMPORTRANGE(B229,""'Export'!a1""))")," ")</f>
        <v> </v>
      </c>
      <c r="G229" s="23" t="str">
        <f>IFERROR(__xludf.DUMMYFUNCTION("IF(B229="""","" "",IMPORTRANGE(B229,""'export'!b1""))")," ")</f>
        <v> </v>
      </c>
      <c r="H229" s="23" t="str">
        <f>IFERROR(__xludf.DUMMYFUNCTION("IF(B229="""","" "",IMPORTRANGE(B229,""'export'!c1""))")," ")</f>
        <v> </v>
      </c>
      <c r="I229" s="24" t="str">
        <f>IFERROR(__xludf.DUMMYFUNCTION("IF(B229="""","" "",IMPORTRANGE(B229,""'export'!d1""))")," ")</f>
        <v> </v>
      </c>
      <c r="J229" s="25" t="str">
        <f>IFERROR(__xludf.DUMMYFUNCTION("IF(B229="""","" "",IMPORTRANGE(B229,""'export'!e1""))")," ")</f>
        <v> </v>
      </c>
      <c r="K229" s="25"/>
      <c r="L229" s="21" t="str">
        <f>IFERROR(__xludf.DUMMYFUNCTION("IF(B229="""","" "",IMPORTRANGE(B229,""'export'!f1""))")," ")</f>
        <v> </v>
      </c>
      <c r="M229" s="26" t="str">
        <f>IFERROR(__xludf.DUMMYFUNCTION("IF(B229="""","" "",IMPORTRANGE(B229,""'export'!h3""))")," ")</f>
        <v> </v>
      </c>
      <c r="N229" s="27" t="str">
        <f>IFERROR(__xludf.DUMMYFUNCTION("IF(B229="""","" "",IMPORTRANGE(B229,""'export'!h1""))")," ")</f>
        <v> </v>
      </c>
      <c r="O229" s="28" t="str">
        <f>IFERROR(__xludf.DUMMYFUNCTION("IF(B229="""","" "",IMPORTRANGE(B229,""'export'!h11""))")," ")</f>
        <v> </v>
      </c>
      <c r="P229" s="29" t="str">
        <f>IFERROR(__xludf.DUMMYFUNCTION("IF(B229="""","" "",IMPORTRANGE(B229,""'export'!i1""))")," ")</f>
        <v> </v>
      </c>
      <c r="Q229" s="30" t="str">
        <f>IFERROR(__xludf.DUMMYFUNCTION("IF(B229="""","" "",IMPORTRANGE(B229,""'export'!i13""))")," ")</f>
        <v> </v>
      </c>
      <c r="R229" s="31" t="str">
        <f t="shared" si="2"/>
        <v/>
      </c>
      <c r="S229" s="32" t="str">
        <f>IFERROR(__xludf.DUMMYFUNCTION("IF(B229="""","" "",IMPORTRANGE(B229,""'export'!g1""))")," ")</f>
        <v> </v>
      </c>
    </row>
    <row r="230">
      <c r="A230" s="18"/>
      <c r="B230" s="35"/>
      <c r="C230" s="20" t="str">
        <f>IFERROR(__xludf.DUMMYFUNCTION("IF(B230="""","" "",IMPORTRANGE(B230,""'Export'!m1""))")," ")</f>
        <v> </v>
      </c>
      <c r="D230" s="21" t="str">
        <f t="shared" si="1"/>
        <v> ,  ,  </v>
      </c>
      <c r="E230" s="22" t="str">
        <f>IFERROR(__xludf.DUMMYFUNCTION("IF(B230="""","" "",IMPORTRANGE(B230,""'EXPORT'!L1""))")," ")</f>
        <v> </v>
      </c>
      <c r="F230" s="23" t="str">
        <f>IFERROR(__xludf.DUMMYFUNCTION("IF(B230="""","" "",IMPORTRANGE(B230,""'Export'!a1""))")," ")</f>
        <v> </v>
      </c>
      <c r="G230" s="23" t="str">
        <f>IFERROR(__xludf.DUMMYFUNCTION("IF(B230="""","" "",IMPORTRANGE(B230,""'export'!b1""))")," ")</f>
        <v> </v>
      </c>
      <c r="H230" s="23" t="str">
        <f>IFERROR(__xludf.DUMMYFUNCTION("IF(B230="""","" "",IMPORTRANGE(B230,""'export'!c1""))")," ")</f>
        <v> </v>
      </c>
      <c r="I230" s="24" t="str">
        <f>IFERROR(__xludf.DUMMYFUNCTION("IF(B230="""","" "",IMPORTRANGE(B230,""'export'!d1""))")," ")</f>
        <v> </v>
      </c>
      <c r="J230" s="25" t="str">
        <f>IFERROR(__xludf.DUMMYFUNCTION("IF(B230="""","" "",IMPORTRANGE(B230,""'export'!e1""))")," ")</f>
        <v> </v>
      </c>
      <c r="K230" s="25"/>
      <c r="L230" s="21" t="str">
        <f>IFERROR(__xludf.DUMMYFUNCTION("IF(B230="""","" "",IMPORTRANGE(B230,""'export'!f1""))")," ")</f>
        <v> </v>
      </c>
      <c r="M230" s="26" t="str">
        <f>IFERROR(__xludf.DUMMYFUNCTION("IF(B230="""","" "",IMPORTRANGE(B230,""'export'!h3""))")," ")</f>
        <v> </v>
      </c>
      <c r="N230" s="27" t="str">
        <f>IFERROR(__xludf.DUMMYFUNCTION("IF(B230="""","" "",IMPORTRANGE(B230,""'export'!h1""))")," ")</f>
        <v> </v>
      </c>
      <c r="O230" s="28" t="str">
        <f>IFERROR(__xludf.DUMMYFUNCTION("IF(B230="""","" "",IMPORTRANGE(B230,""'export'!h11""))")," ")</f>
        <v> </v>
      </c>
      <c r="P230" s="29" t="str">
        <f>IFERROR(__xludf.DUMMYFUNCTION("IF(B230="""","" "",IMPORTRANGE(B230,""'export'!i1""))")," ")</f>
        <v> </v>
      </c>
      <c r="Q230" s="30" t="str">
        <f>IFERROR(__xludf.DUMMYFUNCTION("IF(B230="""","" "",IMPORTRANGE(B230,""'export'!i13""))")," ")</f>
        <v> </v>
      </c>
      <c r="R230" s="31" t="str">
        <f t="shared" si="2"/>
        <v/>
      </c>
      <c r="S230" s="32" t="str">
        <f>IFERROR(__xludf.DUMMYFUNCTION("IF(B230="""","" "",IMPORTRANGE(B230,""'export'!g1""))")," ")</f>
        <v> </v>
      </c>
    </row>
    <row r="231">
      <c r="A231" s="18"/>
      <c r="B231" s="35"/>
      <c r="C231" s="20" t="str">
        <f>IFERROR(__xludf.DUMMYFUNCTION("IF(B231="""","" "",IMPORTRANGE(B231,""'Export'!m1""))")," ")</f>
        <v> </v>
      </c>
      <c r="D231" s="21" t="str">
        <f t="shared" si="1"/>
        <v> ,  ,  </v>
      </c>
      <c r="E231" s="22" t="str">
        <f>IFERROR(__xludf.DUMMYFUNCTION("IF(B231="""","" "",IMPORTRANGE(B231,""'EXPORT'!L1""))")," ")</f>
        <v> </v>
      </c>
      <c r="F231" s="23" t="str">
        <f>IFERROR(__xludf.DUMMYFUNCTION("IF(B231="""","" "",IMPORTRANGE(B231,""'Export'!a1""))")," ")</f>
        <v> </v>
      </c>
      <c r="G231" s="23" t="str">
        <f>IFERROR(__xludf.DUMMYFUNCTION("IF(B231="""","" "",IMPORTRANGE(B231,""'export'!b1""))")," ")</f>
        <v> </v>
      </c>
      <c r="H231" s="23" t="str">
        <f>IFERROR(__xludf.DUMMYFUNCTION("IF(B231="""","" "",IMPORTRANGE(B231,""'export'!c1""))")," ")</f>
        <v> </v>
      </c>
      <c r="I231" s="24" t="str">
        <f>IFERROR(__xludf.DUMMYFUNCTION("IF(B231="""","" "",IMPORTRANGE(B231,""'export'!d1""))")," ")</f>
        <v> </v>
      </c>
      <c r="J231" s="25" t="str">
        <f>IFERROR(__xludf.DUMMYFUNCTION("IF(B231="""","" "",IMPORTRANGE(B231,""'export'!e1""))")," ")</f>
        <v> </v>
      </c>
      <c r="K231" s="25"/>
      <c r="L231" s="21" t="str">
        <f>IFERROR(__xludf.DUMMYFUNCTION("IF(B231="""","" "",IMPORTRANGE(B231,""'export'!f1""))")," ")</f>
        <v> </v>
      </c>
      <c r="M231" s="26" t="str">
        <f>IFERROR(__xludf.DUMMYFUNCTION("IF(B231="""","" "",IMPORTRANGE(B231,""'export'!h3""))")," ")</f>
        <v> </v>
      </c>
      <c r="N231" s="27" t="str">
        <f>IFERROR(__xludf.DUMMYFUNCTION("IF(B231="""","" "",IMPORTRANGE(B231,""'export'!h1""))")," ")</f>
        <v> </v>
      </c>
      <c r="O231" s="28" t="str">
        <f>IFERROR(__xludf.DUMMYFUNCTION("IF(B231="""","" "",IMPORTRANGE(B231,""'export'!h11""))")," ")</f>
        <v> </v>
      </c>
      <c r="P231" s="29" t="str">
        <f>IFERROR(__xludf.DUMMYFUNCTION("IF(B231="""","" "",IMPORTRANGE(B231,""'export'!i1""))")," ")</f>
        <v> </v>
      </c>
      <c r="Q231" s="30" t="str">
        <f>IFERROR(__xludf.DUMMYFUNCTION("IF(B231="""","" "",IMPORTRANGE(B231,""'export'!i13""))")," ")</f>
        <v> </v>
      </c>
      <c r="R231" s="31" t="str">
        <f t="shared" si="2"/>
        <v/>
      </c>
      <c r="S231" s="32" t="str">
        <f>IFERROR(__xludf.DUMMYFUNCTION("IF(B231="""","" "",IMPORTRANGE(B231,""'export'!g1""))")," ")</f>
        <v> </v>
      </c>
    </row>
    <row r="232">
      <c r="A232" s="18"/>
      <c r="B232" s="35"/>
      <c r="C232" s="20" t="str">
        <f>IFERROR(__xludf.DUMMYFUNCTION("IF(B232="""","" "",IMPORTRANGE(B232,""'Export'!m1""))")," ")</f>
        <v> </v>
      </c>
      <c r="D232" s="21" t="str">
        <f t="shared" si="1"/>
        <v> ,  ,  </v>
      </c>
      <c r="E232" s="22" t="str">
        <f>IFERROR(__xludf.DUMMYFUNCTION("IF(B232="""","" "",IMPORTRANGE(B232,""'EXPORT'!L1""))")," ")</f>
        <v> </v>
      </c>
      <c r="F232" s="23" t="str">
        <f>IFERROR(__xludf.DUMMYFUNCTION("IF(B232="""","" "",IMPORTRANGE(B232,""'Export'!a1""))")," ")</f>
        <v> </v>
      </c>
      <c r="G232" s="23" t="str">
        <f>IFERROR(__xludf.DUMMYFUNCTION("IF(B232="""","" "",IMPORTRANGE(B232,""'export'!b1""))")," ")</f>
        <v> </v>
      </c>
      <c r="H232" s="23" t="str">
        <f>IFERROR(__xludf.DUMMYFUNCTION("IF(B232="""","" "",IMPORTRANGE(B232,""'export'!c1""))")," ")</f>
        <v> </v>
      </c>
      <c r="I232" s="24" t="str">
        <f>IFERROR(__xludf.DUMMYFUNCTION("IF(B232="""","" "",IMPORTRANGE(B232,""'export'!d1""))")," ")</f>
        <v> </v>
      </c>
      <c r="J232" s="25" t="str">
        <f>IFERROR(__xludf.DUMMYFUNCTION("IF(B232="""","" "",IMPORTRANGE(B232,""'export'!e1""))")," ")</f>
        <v> </v>
      </c>
      <c r="K232" s="25"/>
      <c r="L232" s="21" t="str">
        <f>IFERROR(__xludf.DUMMYFUNCTION("IF(B232="""","" "",IMPORTRANGE(B232,""'export'!f1""))")," ")</f>
        <v> </v>
      </c>
      <c r="M232" s="26" t="str">
        <f>IFERROR(__xludf.DUMMYFUNCTION("IF(B232="""","" "",IMPORTRANGE(B232,""'export'!h3""))")," ")</f>
        <v> </v>
      </c>
      <c r="N232" s="27" t="str">
        <f>IFERROR(__xludf.DUMMYFUNCTION("IF(B232="""","" "",IMPORTRANGE(B232,""'export'!h1""))")," ")</f>
        <v> </v>
      </c>
      <c r="O232" s="28" t="str">
        <f>IFERROR(__xludf.DUMMYFUNCTION("IF(B232="""","" "",IMPORTRANGE(B232,""'export'!h11""))")," ")</f>
        <v> </v>
      </c>
      <c r="P232" s="29" t="str">
        <f>IFERROR(__xludf.DUMMYFUNCTION("IF(B232="""","" "",IMPORTRANGE(B232,""'export'!i1""))")," ")</f>
        <v> </v>
      </c>
      <c r="Q232" s="30" t="str">
        <f>IFERROR(__xludf.DUMMYFUNCTION("IF(B232="""","" "",IMPORTRANGE(B232,""'export'!i13""))")," ")</f>
        <v> </v>
      </c>
      <c r="R232" s="31" t="str">
        <f t="shared" si="2"/>
        <v/>
      </c>
      <c r="S232" s="32" t="str">
        <f>IFERROR(__xludf.DUMMYFUNCTION("IF(B232="""","" "",IMPORTRANGE(B232,""'export'!g1""))")," ")</f>
        <v> </v>
      </c>
    </row>
    <row r="233">
      <c r="A233" s="18"/>
      <c r="B233" s="35"/>
      <c r="C233" s="20" t="str">
        <f>IFERROR(__xludf.DUMMYFUNCTION("IF(B233="""","" "",IMPORTRANGE(B233,""'Export'!m1""))")," ")</f>
        <v> </v>
      </c>
      <c r="D233" s="21" t="str">
        <f t="shared" si="1"/>
        <v> ,  ,  </v>
      </c>
      <c r="E233" s="22" t="str">
        <f>IFERROR(__xludf.DUMMYFUNCTION("IF(B233="""","" "",IMPORTRANGE(B233,""'EXPORT'!L1""))")," ")</f>
        <v> </v>
      </c>
      <c r="F233" s="23" t="str">
        <f>IFERROR(__xludf.DUMMYFUNCTION("IF(B233="""","" "",IMPORTRANGE(B233,""'Export'!a1""))")," ")</f>
        <v> </v>
      </c>
      <c r="G233" s="23" t="str">
        <f>IFERROR(__xludf.DUMMYFUNCTION("IF(B233="""","" "",IMPORTRANGE(B233,""'export'!b1""))")," ")</f>
        <v> </v>
      </c>
      <c r="H233" s="23" t="str">
        <f>IFERROR(__xludf.DUMMYFUNCTION("IF(B233="""","" "",IMPORTRANGE(B233,""'export'!c1""))")," ")</f>
        <v> </v>
      </c>
      <c r="I233" s="24" t="str">
        <f>IFERROR(__xludf.DUMMYFUNCTION("IF(B233="""","" "",IMPORTRANGE(B233,""'export'!d1""))")," ")</f>
        <v> </v>
      </c>
      <c r="J233" s="25" t="str">
        <f>IFERROR(__xludf.DUMMYFUNCTION("IF(B233="""","" "",IMPORTRANGE(B233,""'export'!e1""))")," ")</f>
        <v> </v>
      </c>
      <c r="K233" s="25"/>
      <c r="L233" s="21" t="str">
        <f>IFERROR(__xludf.DUMMYFUNCTION("IF(B233="""","" "",IMPORTRANGE(B233,""'export'!f1""))")," ")</f>
        <v> </v>
      </c>
      <c r="M233" s="26" t="str">
        <f>IFERROR(__xludf.DUMMYFUNCTION("IF(B233="""","" "",IMPORTRANGE(B233,""'export'!h3""))")," ")</f>
        <v> </v>
      </c>
      <c r="N233" s="27" t="str">
        <f>IFERROR(__xludf.DUMMYFUNCTION("IF(B233="""","" "",IMPORTRANGE(B233,""'export'!h1""))")," ")</f>
        <v> </v>
      </c>
      <c r="O233" s="28" t="str">
        <f>IFERROR(__xludf.DUMMYFUNCTION("IF(B233="""","" "",IMPORTRANGE(B233,""'export'!h11""))")," ")</f>
        <v> </v>
      </c>
      <c r="P233" s="29" t="str">
        <f>IFERROR(__xludf.DUMMYFUNCTION("IF(B233="""","" "",IMPORTRANGE(B233,""'export'!i1""))")," ")</f>
        <v> </v>
      </c>
      <c r="Q233" s="30" t="str">
        <f>IFERROR(__xludf.DUMMYFUNCTION("IF(B233="""","" "",IMPORTRANGE(B233,""'export'!i13""))")," ")</f>
        <v> </v>
      </c>
      <c r="R233" s="31" t="str">
        <f t="shared" si="2"/>
        <v/>
      </c>
      <c r="S233" s="32" t="str">
        <f>IFERROR(__xludf.DUMMYFUNCTION("IF(B233="""","" "",IMPORTRANGE(B233,""'export'!g1""))")," ")</f>
        <v> </v>
      </c>
    </row>
    <row r="234">
      <c r="A234" s="18"/>
      <c r="B234" s="35"/>
      <c r="C234" s="20" t="str">
        <f>IFERROR(__xludf.DUMMYFUNCTION("IF(B234="""","" "",IMPORTRANGE(B234,""'Export'!m1""))")," ")</f>
        <v> </v>
      </c>
      <c r="D234" s="21" t="str">
        <f t="shared" si="1"/>
        <v> ,  ,  </v>
      </c>
      <c r="E234" s="22" t="str">
        <f>IFERROR(__xludf.DUMMYFUNCTION("IF(B234="""","" "",IMPORTRANGE(B234,""'EXPORT'!L1""))")," ")</f>
        <v> </v>
      </c>
      <c r="F234" s="23" t="str">
        <f>IFERROR(__xludf.DUMMYFUNCTION("IF(B234="""","" "",IMPORTRANGE(B234,""'Export'!a1""))")," ")</f>
        <v> </v>
      </c>
      <c r="G234" s="23" t="str">
        <f>IFERROR(__xludf.DUMMYFUNCTION("IF(B234="""","" "",IMPORTRANGE(B234,""'export'!b1""))")," ")</f>
        <v> </v>
      </c>
      <c r="H234" s="23" t="str">
        <f>IFERROR(__xludf.DUMMYFUNCTION("IF(B234="""","" "",IMPORTRANGE(B234,""'export'!c1""))")," ")</f>
        <v> </v>
      </c>
      <c r="I234" s="24" t="str">
        <f>IFERROR(__xludf.DUMMYFUNCTION("IF(B234="""","" "",IMPORTRANGE(B234,""'export'!d1""))")," ")</f>
        <v> </v>
      </c>
      <c r="J234" s="25" t="str">
        <f>IFERROR(__xludf.DUMMYFUNCTION("IF(B234="""","" "",IMPORTRANGE(B234,""'export'!e1""))")," ")</f>
        <v> </v>
      </c>
      <c r="K234" s="25"/>
      <c r="L234" s="21" t="str">
        <f>IFERROR(__xludf.DUMMYFUNCTION("IF(B234="""","" "",IMPORTRANGE(B234,""'export'!f1""))")," ")</f>
        <v> </v>
      </c>
      <c r="M234" s="26" t="str">
        <f>IFERROR(__xludf.DUMMYFUNCTION("IF(B234="""","" "",IMPORTRANGE(B234,""'export'!h3""))")," ")</f>
        <v> </v>
      </c>
      <c r="N234" s="27" t="str">
        <f>IFERROR(__xludf.DUMMYFUNCTION("IF(B234="""","" "",IMPORTRANGE(B234,""'export'!h1""))")," ")</f>
        <v> </v>
      </c>
      <c r="O234" s="28" t="str">
        <f>IFERROR(__xludf.DUMMYFUNCTION("IF(B234="""","" "",IMPORTRANGE(B234,""'export'!h11""))")," ")</f>
        <v> </v>
      </c>
      <c r="P234" s="29" t="str">
        <f>IFERROR(__xludf.DUMMYFUNCTION("IF(B234="""","" "",IMPORTRANGE(B234,""'export'!i1""))")," ")</f>
        <v> </v>
      </c>
      <c r="Q234" s="30" t="str">
        <f>IFERROR(__xludf.DUMMYFUNCTION("IF(B234="""","" "",IMPORTRANGE(B234,""'export'!i13""))")," ")</f>
        <v> </v>
      </c>
      <c r="R234" s="31" t="str">
        <f t="shared" si="2"/>
        <v/>
      </c>
      <c r="S234" s="32" t="str">
        <f>IFERROR(__xludf.DUMMYFUNCTION("IF(B234="""","" "",IMPORTRANGE(B234,""'export'!g1""))")," ")</f>
        <v> </v>
      </c>
    </row>
    <row r="235">
      <c r="A235" s="18"/>
      <c r="B235" s="35"/>
      <c r="C235" s="20" t="str">
        <f>IFERROR(__xludf.DUMMYFUNCTION("IF(B235="""","" "",IMPORTRANGE(B235,""'Export'!m1""))")," ")</f>
        <v> </v>
      </c>
      <c r="D235" s="21" t="str">
        <f t="shared" si="1"/>
        <v> ,  ,  </v>
      </c>
      <c r="E235" s="22" t="str">
        <f>IFERROR(__xludf.DUMMYFUNCTION("IF(B235="""","" "",IMPORTRANGE(B235,""'EXPORT'!L1""))")," ")</f>
        <v> </v>
      </c>
      <c r="F235" s="23" t="str">
        <f>IFERROR(__xludf.DUMMYFUNCTION("IF(B235="""","" "",IMPORTRANGE(B235,""'Export'!a1""))")," ")</f>
        <v> </v>
      </c>
      <c r="G235" s="23" t="str">
        <f>IFERROR(__xludf.DUMMYFUNCTION("IF(B235="""","" "",IMPORTRANGE(B235,""'export'!b1""))")," ")</f>
        <v> </v>
      </c>
      <c r="H235" s="23" t="str">
        <f>IFERROR(__xludf.DUMMYFUNCTION("IF(B235="""","" "",IMPORTRANGE(B235,""'export'!c1""))")," ")</f>
        <v> </v>
      </c>
      <c r="I235" s="24" t="str">
        <f>IFERROR(__xludf.DUMMYFUNCTION("IF(B235="""","" "",IMPORTRANGE(B235,""'export'!d1""))")," ")</f>
        <v> </v>
      </c>
      <c r="J235" s="25" t="str">
        <f>IFERROR(__xludf.DUMMYFUNCTION("IF(B235="""","" "",IMPORTRANGE(B235,""'export'!e1""))")," ")</f>
        <v> </v>
      </c>
      <c r="K235" s="25"/>
      <c r="L235" s="21" t="str">
        <f>IFERROR(__xludf.DUMMYFUNCTION("IF(B235="""","" "",IMPORTRANGE(B235,""'export'!f1""))")," ")</f>
        <v> </v>
      </c>
      <c r="M235" s="26" t="str">
        <f>IFERROR(__xludf.DUMMYFUNCTION("IF(B235="""","" "",IMPORTRANGE(B235,""'export'!h3""))")," ")</f>
        <v> </v>
      </c>
      <c r="N235" s="27" t="str">
        <f>IFERROR(__xludf.DUMMYFUNCTION("IF(B235="""","" "",IMPORTRANGE(B235,""'export'!h1""))")," ")</f>
        <v> </v>
      </c>
      <c r="O235" s="28" t="str">
        <f>IFERROR(__xludf.DUMMYFUNCTION("IF(B235="""","" "",IMPORTRANGE(B235,""'export'!h11""))")," ")</f>
        <v> </v>
      </c>
      <c r="P235" s="29" t="str">
        <f>IFERROR(__xludf.DUMMYFUNCTION("IF(B235="""","" "",IMPORTRANGE(B235,""'export'!i1""))")," ")</f>
        <v> </v>
      </c>
      <c r="Q235" s="30" t="str">
        <f>IFERROR(__xludf.DUMMYFUNCTION("IF(B235="""","" "",IMPORTRANGE(B235,""'export'!i13""))")," ")</f>
        <v> </v>
      </c>
      <c r="R235" s="31" t="str">
        <f t="shared" si="2"/>
        <v/>
      </c>
      <c r="S235" s="32" t="str">
        <f>IFERROR(__xludf.DUMMYFUNCTION("IF(B235="""","" "",IMPORTRANGE(B235,""'export'!g1""))")," ")</f>
        <v> </v>
      </c>
    </row>
    <row r="236">
      <c r="A236" s="18"/>
      <c r="B236" s="35"/>
      <c r="C236" s="20" t="str">
        <f>IFERROR(__xludf.DUMMYFUNCTION("IF(B236="""","" "",IMPORTRANGE(B236,""'Export'!m1""))")," ")</f>
        <v> </v>
      </c>
      <c r="D236" s="21" t="str">
        <f t="shared" si="1"/>
        <v> ,  ,  </v>
      </c>
      <c r="E236" s="22" t="str">
        <f>IFERROR(__xludf.DUMMYFUNCTION("IF(B236="""","" "",IMPORTRANGE(B236,""'EXPORT'!L1""))")," ")</f>
        <v> </v>
      </c>
      <c r="F236" s="23" t="str">
        <f>IFERROR(__xludf.DUMMYFUNCTION("IF(B236="""","" "",IMPORTRANGE(B236,""'Export'!a1""))")," ")</f>
        <v> </v>
      </c>
      <c r="G236" s="23" t="str">
        <f>IFERROR(__xludf.DUMMYFUNCTION("IF(B236="""","" "",IMPORTRANGE(B236,""'export'!b1""))")," ")</f>
        <v> </v>
      </c>
      <c r="H236" s="23" t="str">
        <f>IFERROR(__xludf.DUMMYFUNCTION("IF(B236="""","" "",IMPORTRANGE(B236,""'export'!c1""))")," ")</f>
        <v> </v>
      </c>
      <c r="I236" s="24" t="str">
        <f>IFERROR(__xludf.DUMMYFUNCTION("IF(B236="""","" "",IMPORTRANGE(B236,""'export'!d1""))")," ")</f>
        <v> </v>
      </c>
      <c r="J236" s="25" t="str">
        <f>IFERROR(__xludf.DUMMYFUNCTION("IF(B236="""","" "",IMPORTRANGE(B236,""'export'!e1""))")," ")</f>
        <v> </v>
      </c>
      <c r="K236" s="25"/>
      <c r="L236" s="21" t="str">
        <f>IFERROR(__xludf.DUMMYFUNCTION("IF(B236="""","" "",IMPORTRANGE(B236,""'export'!f1""))")," ")</f>
        <v> </v>
      </c>
      <c r="M236" s="26" t="str">
        <f>IFERROR(__xludf.DUMMYFUNCTION("IF(B236="""","" "",IMPORTRANGE(B236,""'export'!h3""))")," ")</f>
        <v> </v>
      </c>
      <c r="N236" s="27" t="str">
        <f>IFERROR(__xludf.DUMMYFUNCTION("IF(B236="""","" "",IMPORTRANGE(B236,""'export'!h1""))")," ")</f>
        <v> </v>
      </c>
      <c r="O236" s="28" t="str">
        <f>IFERROR(__xludf.DUMMYFUNCTION("IF(B236="""","" "",IMPORTRANGE(B236,""'export'!h11""))")," ")</f>
        <v> </v>
      </c>
      <c r="P236" s="29" t="str">
        <f>IFERROR(__xludf.DUMMYFUNCTION("IF(B236="""","" "",IMPORTRANGE(B236,""'export'!i1""))")," ")</f>
        <v> </v>
      </c>
      <c r="Q236" s="30" t="str">
        <f>IFERROR(__xludf.DUMMYFUNCTION("IF(B236="""","" "",IMPORTRANGE(B236,""'export'!i13""))")," ")</f>
        <v> </v>
      </c>
      <c r="R236" s="31" t="str">
        <f t="shared" si="2"/>
        <v/>
      </c>
      <c r="S236" s="32" t="str">
        <f>IFERROR(__xludf.DUMMYFUNCTION("IF(B236="""","" "",IMPORTRANGE(B236,""'export'!g1""))")," ")</f>
        <v> </v>
      </c>
    </row>
    <row r="237">
      <c r="A237" s="18"/>
      <c r="B237" s="35"/>
      <c r="C237" s="20" t="str">
        <f>IFERROR(__xludf.DUMMYFUNCTION("IF(B237="""","" "",IMPORTRANGE(B237,""'Export'!m1""))")," ")</f>
        <v> </v>
      </c>
      <c r="D237" s="21" t="str">
        <f t="shared" si="1"/>
        <v> ,  ,  </v>
      </c>
      <c r="E237" s="22" t="str">
        <f>IFERROR(__xludf.DUMMYFUNCTION("IF(B237="""","" "",IMPORTRANGE(B237,""'EXPORT'!L1""))")," ")</f>
        <v> </v>
      </c>
      <c r="F237" s="23" t="str">
        <f>IFERROR(__xludf.DUMMYFUNCTION("IF(B237="""","" "",IMPORTRANGE(B237,""'Export'!a1""))")," ")</f>
        <v> </v>
      </c>
      <c r="G237" s="23" t="str">
        <f>IFERROR(__xludf.DUMMYFUNCTION("IF(B237="""","" "",IMPORTRANGE(B237,""'export'!b1""))")," ")</f>
        <v> </v>
      </c>
      <c r="H237" s="23" t="str">
        <f>IFERROR(__xludf.DUMMYFUNCTION("IF(B237="""","" "",IMPORTRANGE(B237,""'export'!c1""))")," ")</f>
        <v> </v>
      </c>
      <c r="I237" s="24" t="str">
        <f>IFERROR(__xludf.DUMMYFUNCTION("IF(B237="""","" "",IMPORTRANGE(B237,""'export'!d1""))")," ")</f>
        <v> </v>
      </c>
      <c r="J237" s="25" t="str">
        <f>IFERROR(__xludf.DUMMYFUNCTION("IF(B237="""","" "",IMPORTRANGE(B237,""'export'!e1""))")," ")</f>
        <v> </v>
      </c>
      <c r="K237" s="25"/>
      <c r="L237" s="21" t="str">
        <f>IFERROR(__xludf.DUMMYFUNCTION("IF(B237="""","" "",IMPORTRANGE(B237,""'export'!f1""))")," ")</f>
        <v> </v>
      </c>
      <c r="M237" s="26" t="str">
        <f>IFERROR(__xludf.DUMMYFUNCTION("IF(B237="""","" "",IMPORTRANGE(B237,""'export'!h3""))")," ")</f>
        <v> </v>
      </c>
      <c r="N237" s="27" t="str">
        <f>IFERROR(__xludf.DUMMYFUNCTION("IF(B237="""","" "",IMPORTRANGE(B237,""'export'!h1""))")," ")</f>
        <v> </v>
      </c>
      <c r="O237" s="28" t="str">
        <f>IFERROR(__xludf.DUMMYFUNCTION("IF(B237="""","" "",IMPORTRANGE(B237,""'export'!h11""))")," ")</f>
        <v> </v>
      </c>
      <c r="P237" s="29" t="str">
        <f>IFERROR(__xludf.DUMMYFUNCTION("IF(B237="""","" "",IMPORTRANGE(B237,""'export'!i1""))")," ")</f>
        <v> </v>
      </c>
      <c r="Q237" s="30" t="str">
        <f>IFERROR(__xludf.DUMMYFUNCTION("IF(B237="""","" "",IMPORTRANGE(B237,""'export'!i13""))")," ")</f>
        <v> </v>
      </c>
      <c r="R237" s="31" t="str">
        <f t="shared" si="2"/>
        <v/>
      </c>
      <c r="S237" s="32" t="str">
        <f>IFERROR(__xludf.DUMMYFUNCTION("IF(B237="""","" "",IMPORTRANGE(B237,""'export'!g1""))")," ")</f>
        <v> </v>
      </c>
    </row>
    <row r="238">
      <c r="A238" s="18"/>
      <c r="B238" s="35"/>
      <c r="C238" s="20" t="str">
        <f>IFERROR(__xludf.DUMMYFUNCTION("IF(B238="""","" "",IMPORTRANGE(B238,""'Export'!m1""))")," ")</f>
        <v> </v>
      </c>
      <c r="D238" s="21" t="str">
        <f t="shared" si="1"/>
        <v> ,  ,  </v>
      </c>
      <c r="E238" s="22" t="str">
        <f>IFERROR(__xludf.DUMMYFUNCTION("IF(B238="""","" "",IMPORTRANGE(B238,""'EXPORT'!L1""))")," ")</f>
        <v> </v>
      </c>
      <c r="F238" s="23" t="str">
        <f>IFERROR(__xludf.DUMMYFUNCTION("IF(B238="""","" "",IMPORTRANGE(B238,""'Export'!a1""))")," ")</f>
        <v> </v>
      </c>
      <c r="G238" s="23" t="str">
        <f>IFERROR(__xludf.DUMMYFUNCTION("IF(B238="""","" "",IMPORTRANGE(B238,""'export'!b1""))")," ")</f>
        <v> </v>
      </c>
      <c r="H238" s="23" t="str">
        <f>IFERROR(__xludf.DUMMYFUNCTION("IF(B238="""","" "",IMPORTRANGE(B238,""'export'!c1""))")," ")</f>
        <v> </v>
      </c>
      <c r="I238" s="24" t="str">
        <f>IFERROR(__xludf.DUMMYFUNCTION("IF(B238="""","" "",IMPORTRANGE(B238,""'export'!d1""))")," ")</f>
        <v> </v>
      </c>
      <c r="J238" s="25" t="str">
        <f>IFERROR(__xludf.DUMMYFUNCTION("IF(B238="""","" "",IMPORTRANGE(B238,""'export'!e1""))")," ")</f>
        <v> </v>
      </c>
      <c r="K238" s="25"/>
      <c r="L238" s="21" t="str">
        <f>IFERROR(__xludf.DUMMYFUNCTION("IF(B238="""","" "",IMPORTRANGE(B238,""'export'!f1""))")," ")</f>
        <v> </v>
      </c>
      <c r="M238" s="26" t="str">
        <f>IFERROR(__xludf.DUMMYFUNCTION("IF(B238="""","" "",IMPORTRANGE(B238,""'export'!h3""))")," ")</f>
        <v> </v>
      </c>
      <c r="N238" s="27" t="str">
        <f>IFERROR(__xludf.DUMMYFUNCTION("IF(B238="""","" "",IMPORTRANGE(B238,""'export'!h1""))")," ")</f>
        <v> </v>
      </c>
      <c r="O238" s="28" t="str">
        <f>IFERROR(__xludf.DUMMYFUNCTION("IF(B238="""","" "",IMPORTRANGE(B238,""'export'!h11""))")," ")</f>
        <v> </v>
      </c>
      <c r="P238" s="29" t="str">
        <f>IFERROR(__xludf.DUMMYFUNCTION("IF(B238="""","" "",IMPORTRANGE(B238,""'export'!i1""))")," ")</f>
        <v> </v>
      </c>
      <c r="Q238" s="30" t="str">
        <f>IFERROR(__xludf.DUMMYFUNCTION("IF(B238="""","" "",IMPORTRANGE(B238,""'export'!i13""))")," ")</f>
        <v> </v>
      </c>
      <c r="R238" s="31" t="str">
        <f t="shared" si="2"/>
        <v/>
      </c>
      <c r="S238" s="32" t="str">
        <f>IFERROR(__xludf.DUMMYFUNCTION("IF(B238="""","" "",IMPORTRANGE(B238,""'export'!g1""))")," ")</f>
        <v> </v>
      </c>
    </row>
    <row r="239">
      <c r="A239" s="18"/>
      <c r="B239" s="35"/>
      <c r="C239" s="20" t="str">
        <f>IFERROR(__xludf.DUMMYFUNCTION("IF(B239="""","" "",IMPORTRANGE(B239,""'Export'!m1""))")," ")</f>
        <v> </v>
      </c>
      <c r="D239" s="21" t="str">
        <f t="shared" si="1"/>
        <v> ,  ,  </v>
      </c>
      <c r="E239" s="22" t="str">
        <f>IFERROR(__xludf.DUMMYFUNCTION("IF(B239="""","" "",IMPORTRANGE(B239,""'EXPORT'!L1""))")," ")</f>
        <v> </v>
      </c>
      <c r="F239" s="23" t="str">
        <f>IFERROR(__xludf.DUMMYFUNCTION("IF(B239="""","" "",IMPORTRANGE(B239,""'Export'!a1""))")," ")</f>
        <v> </v>
      </c>
      <c r="G239" s="23" t="str">
        <f>IFERROR(__xludf.DUMMYFUNCTION("IF(B239="""","" "",IMPORTRANGE(B239,""'export'!b1""))")," ")</f>
        <v> </v>
      </c>
      <c r="H239" s="23" t="str">
        <f>IFERROR(__xludf.DUMMYFUNCTION("IF(B239="""","" "",IMPORTRANGE(B239,""'export'!c1""))")," ")</f>
        <v> </v>
      </c>
      <c r="I239" s="24" t="str">
        <f>IFERROR(__xludf.DUMMYFUNCTION("IF(B239="""","" "",IMPORTRANGE(B239,""'export'!d1""))")," ")</f>
        <v> </v>
      </c>
      <c r="J239" s="25" t="str">
        <f>IFERROR(__xludf.DUMMYFUNCTION("IF(B239="""","" "",IMPORTRANGE(B239,""'export'!e1""))")," ")</f>
        <v> </v>
      </c>
      <c r="K239" s="25"/>
      <c r="L239" s="21" t="str">
        <f>IFERROR(__xludf.DUMMYFUNCTION("IF(B239="""","" "",IMPORTRANGE(B239,""'export'!f1""))")," ")</f>
        <v> </v>
      </c>
      <c r="M239" s="26" t="str">
        <f>IFERROR(__xludf.DUMMYFUNCTION("IF(B239="""","" "",IMPORTRANGE(B239,""'export'!h3""))")," ")</f>
        <v> </v>
      </c>
      <c r="N239" s="27" t="str">
        <f>IFERROR(__xludf.DUMMYFUNCTION("IF(B239="""","" "",IMPORTRANGE(B239,""'export'!h1""))")," ")</f>
        <v> </v>
      </c>
      <c r="O239" s="28" t="str">
        <f>IFERROR(__xludf.DUMMYFUNCTION("IF(B239="""","" "",IMPORTRANGE(B239,""'export'!h11""))")," ")</f>
        <v> </v>
      </c>
      <c r="P239" s="29" t="str">
        <f>IFERROR(__xludf.DUMMYFUNCTION("IF(B239="""","" "",IMPORTRANGE(B239,""'export'!i1""))")," ")</f>
        <v> </v>
      </c>
      <c r="Q239" s="30" t="str">
        <f>IFERROR(__xludf.DUMMYFUNCTION("IF(B239="""","" "",IMPORTRANGE(B239,""'export'!i13""))")," ")</f>
        <v> </v>
      </c>
      <c r="R239" s="31" t="str">
        <f t="shared" si="2"/>
        <v/>
      </c>
      <c r="S239" s="32" t="str">
        <f>IFERROR(__xludf.DUMMYFUNCTION("IF(B239="""","" "",IMPORTRANGE(B239,""'export'!g1""))")," ")</f>
        <v> </v>
      </c>
    </row>
    <row r="240">
      <c r="A240" s="18"/>
      <c r="B240" s="35"/>
      <c r="C240" s="20" t="str">
        <f>IFERROR(__xludf.DUMMYFUNCTION("IF(B240="""","" "",IMPORTRANGE(B240,""'Export'!m1""))")," ")</f>
        <v> </v>
      </c>
      <c r="D240" s="21" t="str">
        <f t="shared" si="1"/>
        <v> ,  ,  </v>
      </c>
      <c r="E240" s="22" t="str">
        <f>IFERROR(__xludf.DUMMYFUNCTION("IF(B240="""","" "",IMPORTRANGE(B240,""'EXPORT'!L1""))")," ")</f>
        <v> </v>
      </c>
      <c r="F240" s="23" t="str">
        <f>IFERROR(__xludf.DUMMYFUNCTION("IF(B240="""","" "",IMPORTRANGE(B240,""'Export'!a1""))")," ")</f>
        <v> </v>
      </c>
      <c r="G240" s="23" t="str">
        <f>IFERROR(__xludf.DUMMYFUNCTION("IF(B240="""","" "",IMPORTRANGE(B240,""'export'!b1""))")," ")</f>
        <v> </v>
      </c>
      <c r="H240" s="23" t="str">
        <f>IFERROR(__xludf.DUMMYFUNCTION("IF(B240="""","" "",IMPORTRANGE(B240,""'export'!c1""))")," ")</f>
        <v> </v>
      </c>
      <c r="I240" s="24" t="str">
        <f>IFERROR(__xludf.DUMMYFUNCTION("IF(B240="""","" "",IMPORTRANGE(B240,""'export'!d1""))")," ")</f>
        <v> </v>
      </c>
      <c r="J240" s="25" t="str">
        <f>IFERROR(__xludf.DUMMYFUNCTION("IF(B240="""","" "",IMPORTRANGE(B240,""'export'!e1""))")," ")</f>
        <v> </v>
      </c>
      <c r="K240" s="25"/>
      <c r="L240" s="21" t="str">
        <f>IFERROR(__xludf.DUMMYFUNCTION("IF(B240="""","" "",IMPORTRANGE(B240,""'export'!f1""))")," ")</f>
        <v> </v>
      </c>
      <c r="M240" s="26" t="str">
        <f>IFERROR(__xludf.DUMMYFUNCTION("IF(B240="""","" "",IMPORTRANGE(B240,""'export'!h3""))")," ")</f>
        <v> </v>
      </c>
      <c r="N240" s="27" t="str">
        <f>IFERROR(__xludf.DUMMYFUNCTION("IF(B240="""","" "",IMPORTRANGE(B240,""'export'!h1""))")," ")</f>
        <v> </v>
      </c>
      <c r="O240" s="28" t="str">
        <f>IFERROR(__xludf.DUMMYFUNCTION("IF(B240="""","" "",IMPORTRANGE(B240,""'export'!h11""))")," ")</f>
        <v> </v>
      </c>
      <c r="P240" s="29" t="str">
        <f>IFERROR(__xludf.DUMMYFUNCTION("IF(B240="""","" "",IMPORTRANGE(B240,""'export'!i1""))")," ")</f>
        <v> </v>
      </c>
      <c r="Q240" s="30" t="str">
        <f>IFERROR(__xludf.DUMMYFUNCTION("IF(B240="""","" "",IMPORTRANGE(B240,""'export'!i13""))")," ")</f>
        <v> </v>
      </c>
      <c r="R240" s="31" t="str">
        <f t="shared" si="2"/>
        <v/>
      </c>
      <c r="S240" s="32" t="str">
        <f>IFERROR(__xludf.DUMMYFUNCTION("IF(B240="""","" "",IMPORTRANGE(B240,""'export'!g1""))")," ")</f>
        <v> </v>
      </c>
    </row>
    <row r="241">
      <c r="A241" s="18"/>
      <c r="B241" s="35"/>
      <c r="C241" s="20" t="str">
        <f>IFERROR(__xludf.DUMMYFUNCTION("IF(B241="""","" "",IMPORTRANGE(B241,""'Export'!m1""))")," ")</f>
        <v> </v>
      </c>
      <c r="D241" s="21" t="str">
        <f t="shared" si="1"/>
        <v> ,  ,  </v>
      </c>
      <c r="E241" s="22" t="str">
        <f>IFERROR(__xludf.DUMMYFUNCTION("IF(B241="""","" "",IMPORTRANGE(B241,""'EXPORT'!L1""))")," ")</f>
        <v> </v>
      </c>
      <c r="F241" s="23" t="str">
        <f>IFERROR(__xludf.DUMMYFUNCTION("IF(B241="""","" "",IMPORTRANGE(B241,""'Export'!a1""))")," ")</f>
        <v> </v>
      </c>
      <c r="G241" s="23" t="str">
        <f>IFERROR(__xludf.DUMMYFUNCTION("IF(B241="""","" "",IMPORTRANGE(B241,""'export'!b1""))")," ")</f>
        <v> </v>
      </c>
      <c r="H241" s="23" t="str">
        <f>IFERROR(__xludf.DUMMYFUNCTION("IF(B241="""","" "",IMPORTRANGE(B241,""'export'!c1""))")," ")</f>
        <v> </v>
      </c>
      <c r="I241" s="24" t="str">
        <f>IFERROR(__xludf.DUMMYFUNCTION("IF(B241="""","" "",IMPORTRANGE(B241,""'export'!d1""))")," ")</f>
        <v> </v>
      </c>
      <c r="J241" s="25" t="str">
        <f>IFERROR(__xludf.DUMMYFUNCTION("IF(B241="""","" "",IMPORTRANGE(B241,""'export'!e1""))")," ")</f>
        <v> </v>
      </c>
      <c r="K241" s="25"/>
      <c r="L241" s="21" t="str">
        <f>IFERROR(__xludf.DUMMYFUNCTION("IF(B241="""","" "",IMPORTRANGE(B241,""'export'!f1""))")," ")</f>
        <v> </v>
      </c>
      <c r="M241" s="26" t="str">
        <f>IFERROR(__xludf.DUMMYFUNCTION("IF(B241="""","" "",IMPORTRANGE(B241,""'export'!h3""))")," ")</f>
        <v> </v>
      </c>
      <c r="N241" s="27" t="str">
        <f>IFERROR(__xludf.DUMMYFUNCTION("IF(B241="""","" "",IMPORTRANGE(B241,""'export'!h1""))")," ")</f>
        <v> </v>
      </c>
      <c r="O241" s="28" t="str">
        <f>IFERROR(__xludf.DUMMYFUNCTION("IF(B241="""","" "",IMPORTRANGE(B241,""'export'!h11""))")," ")</f>
        <v> </v>
      </c>
      <c r="P241" s="29" t="str">
        <f>IFERROR(__xludf.DUMMYFUNCTION("IF(B241="""","" "",IMPORTRANGE(B241,""'export'!i1""))")," ")</f>
        <v> </v>
      </c>
      <c r="Q241" s="30" t="str">
        <f>IFERROR(__xludf.DUMMYFUNCTION("IF(B241="""","" "",IMPORTRANGE(B241,""'export'!i13""))")," ")</f>
        <v> </v>
      </c>
      <c r="R241" s="31" t="str">
        <f t="shared" si="2"/>
        <v/>
      </c>
      <c r="S241" s="32" t="str">
        <f>IFERROR(__xludf.DUMMYFUNCTION("IF(B241="""","" "",IMPORTRANGE(B241,""'export'!g1""))")," ")</f>
        <v> </v>
      </c>
    </row>
    <row r="242">
      <c r="A242" s="18"/>
      <c r="B242" s="35"/>
      <c r="C242" s="20" t="str">
        <f>IFERROR(__xludf.DUMMYFUNCTION("IF(B242="""","" "",IMPORTRANGE(B242,""'Export'!m1""))")," ")</f>
        <v> </v>
      </c>
      <c r="D242" s="21" t="str">
        <f t="shared" si="1"/>
        <v> ,  ,  </v>
      </c>
      <c r="E242" s="22" t="str">
        <f>IFERROR(__xludf.DUMMYFUNCTION("IF(B242="""","" "",IMPORTRANGE(B242,""'EXPORT'!L1""))")," ")</f>
        <v> </v>
      </c>
      <c r="F242" s="23" t="str">
        <f>IFERROR(__xludf.DUMMYFUNCTION("IF(B242="""","" "",IMPORTRANGE(B242,""'Export'!a1""))")," ")</f>
        <v> </v>
      </c>
      <c r="G242" s="23" t="str">
        <f>IFERROR(__xludf.DUMMYFUNCTION("IF(B242="""","" "",IMPORTRANGE(B242,""'export'!b1""))")," ")</f>
        <v> </v>
      </c>
      <c r="H242" s="23" t="str">
        <f>IFERROR(__xludf.DUMMYFUNCTION("IF(B242="""","" "",IMPORTRANGE(B242,""'export'!c1""))")," ")</f>
        <v> </v>
      </c>
      <c r="I242" s="24" t="str">
        <f>IFERROR(__xludf.DUMMYFUNCTION("IF(B242="""","" "",IMPORTRANGE(B242,""'export'!d1""))")," ")</f>
        <v> </v>
      </c>
      <c r="J242" s="25" t="str">
        <f>IFERROR(__xludf.DUMMYFUNCTION("IF(B242="""","" "",IMPORTRANGE(B242,""'export'!e1""))")," ")</f>
        <v> </v>
      </c>
      <c r="K242" s="25"/>
      <c r="L242" s="21" t="str">
        <f>IFERROR(__xludf.DUMMYFUNCTION("IF(B242="""","" "",IMPORTRANGE(B242,""'export'!f1""))")," ")</f>
        <v> </v>
      </c>
      <c r="M242" s="26" t="str">
        <f>IFERROR(__xludf.DUMMYFUNCTION("IF(B242="""","" "",IMPORTRANGE(B242,""'export'!h3""))")," ")</f>
        <v> </v>
      </c>
      <c r="N242" s="27" t="str">
        <f>IFERROR(__xludf.DUMMYFUNCTION("IF(B242="""","" "",IMPORTRANGE(B242,""'export'!h1""))")," ")</f>
        <v> </v>
      </c>
      <c r="O242" s="28" t="str">
        <f>IFERROR(__xludf.DUMMYFUNCTION("IF(B242="""","" "",IMPORTRANGE(B242,""'export'!h11""))")," ")</f>
        <v> </v>
      </c>
      <c r="P242" s="29" t="str">
        <f>IFERROR(__xludf.DUMMYFUNCTION("IF(B242="""","" "",IMPORTRANGE(B242,""'export'!i1""))")," ")</f>
        <v> </v>
      </c>
      <c r="Q242" s="30" t="str">
        <f>IFERROR(__xludf.DUMMYFUNCTION("IF(B242="""","" "",IMPORTRANGE(B242,""'export'!i13""))")," ")</f>
        <v> </v>
      </c>
      <c r="R242" s="31" t="str">
        <f t="shared" si="2"/>
        <v/>
      </c>
      <c r="S242" s="32" t="str">
        <f>IFERROR(__xludf.DUMMYFUNCTION("IF(B242="""","" "",IMPORTRANGE(B242,""'export'!g1""))")," ")</f>
        <v> </v>
      </c>
    </row>
    <row r="243">
      <c r="A243" s="18"/>
      <c r="B243" s="35"/>
      <c r="C243" s="20" t="str">
        <f>IFERROR(__xludf.DUMMYFUNCTION("IF(B243="""","" "",IMPORTRANGE(B243,""'Export'!m1""))")," ")</f>
        <v> </v>
      </c>
      <c r="D243" s="21" t="str">
        <f t="shared" si="1"/>
        <v> ,  ,  </v>
      </c>
      <c r="E243" s="22" t="str">
        <f>IFERROR(__xludf.DUMMYFUNCTION("IF(B243="""","" "",IMPORTRANGE(B243,""'EXPORT'!L1""))")," ")</f>
        <v> </v>
      </c>
      <c r="F243" s="23" t="str">
        <f>IFERROR(__xludf.DUMMYFUNCTION("IF(B243="""","" "",IMPORTRANGE(B243,""'Export'!a1""))")," ")</f>
        <v> </v>
      </c>
      <c r="G243" s="23" t="str">
        <f>IFERROR(__xludf.DUMMYFUNCTION("IF(B243="""","" "",IMPORTRANGE(B243,""'export'!b1""))")," ")</f>
        <v> </v>
      </c>
      <c r="H243" s="23" t="str">
        <f>IFERROR(__xludf.DUMMYFUNCTION("IF(B243="""","" "",IMPORTRANGE(B243,""'export'!c1""))")," ")</f>
        <v> </v>
      </c>
      <c r="I243" s="24" t="str">
        <f>IFERROR(__xludf.DUMMYFUNCTION("IF(B243="""","" "",IMPORTRANGE(B243,""'export'!d1""))")," ")</f>
        <v> </v>
      </c>
      <c r="J243" s="25" t="str">
        <f>IFERROR(__xludf.DUMMYFUNCTION("IF(B243="""","" "",IMPORTRANGE(B243,""'export'!e1""))")," ")</f>
        <v> </v>
      </c>
      <c r="K243" s="25"/>
      <c r="L243" s="21" t="str">
        <f>IFERROR(__xludf.DUMMYFUNCTION("IF(B243="""","" "",IMPORTRANGE(B243,""'export'!f1""))")," ")</f>
        <v> </v>
      </c>
      <c r="M243" s="26" t="str">
        <f>IFERROR(__xludf.DUMMYFUNCTION("IF(B243="""","" "",IMPORTRANGE(B243,""'export'!h3""))")," ")</f>
        <v> </v>
      </c>
      <c r="N243" s="27" t="str">
        <f>IFERROR(__xludf.DUMMYFUNCTION("IF(B243="""","" "",IMPORTRANGE(B243,""'export'!h1""))")," ")</f>
        <v> </v>
      </c>
      <c r="O243" s="28" t="str">
        <f>IFERROR(__xludf.DUMMYFUNCTION("IF(B243="""","" "",IMPORTRANGE(B243,""'export'!h11""))")," ")</f>
        <v> </v>
      </c>
      <c r="P243" s="29" t="str">
        <f>IFERROR(__xludf.DUMMYFUNCTION("IF(B243="""","" "",IMPORTRANGE(B243,""'export'!i1""))")," ")</f>
        <v> </v>
      </c>
      <c r="Q243" s="30" t="str">
        <f>IFERROR(__xludf.DUMMYFUNCTION("IF(B243="""","" "",IMPORTRANGE(B243,""'export'!i13""))")," ")</f>
        <v> </v>
      </c>
      <c r="R243" s="31" t="str">
        <f t="shared" si="2"/>
        <v/>
      </c>
      <c r="S243" s="32" t="str">
        <f>IFERROR(__xludf.DUMMYFUNCTION("IF(B243="""","" "",IMPORTRANGE(B243,""'export'!g1""))")," ")</f>
        <v> </v>
      </c>
    </row>
    <row r="244">
      <c r="A244" s="18"/>
      <c r="B244" s="35"/>
      <c r="C244" s="20" t="str">
        <f>IFERROR(__xludf.DUMMYFUNCTION("IF(B244="""","" "",IMPORTRANGE(B244,""'Export'!m1""))")," ")</f>
        <v> </v>
      </c>
      <c r="D244" s="21" t="str">
        <f t="shared" si="1"/>
        <v> ,  ,  </v>
      </c>
      <c r="E244" s="22" t="str">
        <f>IFERROR(__xludf.DUMMYFUNCTION("IF(B244="""","" "",IMPORTRANGE(B244,""'EXPORT'!L1""))")," ")</f>
        <v> </v>
      </c>
      <c r="F244" s="23" t="str">
        <f>IFERROR(__xludf.DUMMYFUNCTION("IF(B244="""","" "",IMPORTRANGE(B244,""'Export'!a1""))")," ")</f>
        <v> </v>
      </c>
      <c r="G244" s="23" t="str">
        <f>IFERROR(__xludf.DUMMYFUNCTION("IF(B244="""","" "",IMPORTRANGE(B244,""'export'!b1""))")," ")</f>
        <v> </v>
      </c>
      <c r="H244" s="23" t="str">
        <f>IFERROR(__xludf.DUMMYFUNCTION("IF(B244="""","" "",IMPORTRANGE(B244,""'export'!c1""))")," ")</f>
        <v> </v>
      </c>
      <c r="I244" s="24" t="str">
        <f>IFERROR(__xludf.DUMMYFUNCTION("IF(B244="""","" "",IMPORTRANGE(B244,""'export'!d1""))")," ")</f>
        <v> </v>
      </c>
      <c r="J244" s="25" t="str">
        <f>IFERROR(__xludf.DUMMYFUNCTION("IF(B244="""","" "",IMPORTRANGE(B244,""'export'!e1""))")," ")</f>
        <v> </v>
      </c>
      <c r="K244" s="25"/>
      <c r="L244" s="21" t="str">
        <f>IFERROR(__xludf.DUMMYFUNCTION("IF(B244="""","" "",IMPORTRANGE(B244,""'export'!f1""))")," ")</f>
        <v> </v>
      </c>
      <c r="M244" s="26" t="str">
        <f>IFERROR(__xludf.DUMMYFUNCTION("IF(B244="""","" "",IMPORTRANGE(B244,""'export'!h3""))")," ")</f>
        <v> </v>
      </c>
      <c r="N244" s="27" t="str">
        <f>IFERROR(__xludf.DUMMYFUNCTION("IF(B244="""","" "",IMPORTRANGE(B244,""'export'!h1""))")," ")</f>
        <v> </v>
      </c>
      <c r="O244" s="28" t="str">
        <f>IFERROR(__xludf.DUMMYFUNCTION("IF(B244="""","" "",IMPORTRANGE(B244,""'export'!h11""))")," ")</f>
        <v> </v>
      </c>
      <c r="P244" s="29" t="str">
        <f>IFERROR(__xludf.DUMMYFUNCTION("IF(B244="""","" "",IMPORTRANGE(B244,""'export'!i1""))")," ")</f>
        <v> </v>
      </c>
      <c r="Q244" s="30" t="str">
        <f>IFERROR(__xludf.DUMMYFUNCTION("IF(B244="""","" "",IMPORTRANGE(B244,""'export'!i13""))")," ")</f>
        <v> </v>
      </c>
      <c r="R244" s="31" t="str">
        <f t="shared" si="2"/>
        <v/>
      </c>
      <c r="S244" s="32" t="str">
        <f>IFERROR(__xludf.DUMMYFUNCTION("IF(B244="""","" "",IMPORTRANGE(B244,""'export'!g1""))")," ")</f>
        <v> </v>
      </c>
    </row>
    <row r="245">
      <c r="A245" s="18"/>
      <c r="B245" s="35"/>
      <c r="C245" s="20" t="str">
        <f>IFERROR(__xludf.DUMMYFUNCTION("IF(B245="""","" "",IMPORTRANGE(B245,""'Export'!m1""))")," ")</f>
        <v> </v>
      </c>
      <c r="D245" s="21" t="str">
        <f t="shared" si="1"/>
        <v> ,  ,  </v>
      </c>
      <c r="E245" s="22" t="str">
        <f>IFERROR(__xludf.DUMMYFUNCTION("IF(B245="""","" "",IMPORTRANGE(B245,""'EXPORT'!L1""))")," ")</f>
        <v> </v>
      </c>
      <c r="F245" s="23" t="str">
        <f>IFERROR(__xludf.DUMMYFUNCTION("IF(B245="""","" "",IMPORTRANGE(B245,""'Export'!a1""))")," ")</f>
        <v> </v>
      </c>
      <c r="G245" s="23" t="str">
        <f>IFERROR(__xludf.DUMMYFUNCTION("IF(B245="""","" "",IMPORTRANGE(B245,""'export'!b1""))")," ")</f>
        <v> </v>
      </c>
      <c r="H245" s="23" t="str">
        <f>IFERROR(__xludf.DUMMYFUNCTION("IF(B245="""","" "",IMPORTRANGE(B245,""'export'!c1""))")," ")</f>
        <v> </v>
      </c>
      <c r="I245" s="24" t="str">
        <f>IFERROR(__xludf.DUMMYFUNCTION("IF(B245="""","" "",IMPORTRANGE(B245,""'export'!d1""))")," ")</f>
        <v> </v>
      </c>
      <c r="J245" s="25" t="str">
        <f>IFERROR(__xludf.DUMMYFUNCTION("IF(B245="""","" "",IMPORTRANGE(B245,""'export'!e1""))")," ")</f>
        <v> </v>
      </c>
      <c r="K245" s="25"/>
      <c r="L245" s="21" t="str">
        <f>IFERROR(__xludf.DUMMYFUNCTION("IF(B245="""","" "",IMPORTRANGE(B245,""'export'!f1""))")," ")</f>
        <v> </v>
      </c>
      <c r="M245" s="26" t="str">
        <f>IFERROR(__xludf.DUMMYFUNCTION("IF(B245="""","" "",IMPORTRANGE(B245,""'export'!h3""))")," ")</f>
        <v> </v>
      </c>
      <c r="N245" s="27" t="str">
        <f>IFERROR(__xludf.DUMMYFUNCTION("IF(B245="""","" "",IMPORTRANGE(B245,""'export'!h1""))")," ")</f>
        <v> </v>
      </c>
      <c r="O245" s="28" t="str">
        <f>IFERROR(__xludf.DUMMYFUNCTION("IF(B245="""","" "",IMPORTRANGE(B245,""'export'!h11""))")," ")</f>
        <v> </v>
      </c>
      <c r="P245" s="29" t="str">
        <f>IFERROR(__xludf.DUMMYFUNCTION("IF(B245="""","" "",IMPORTRANGE(B245,""'export'!i1""))")," ")</f>
        <v> </v>
      </c>
      <c r="Q245" s="30" t="str">
        <f>IFERROR(__xludf.DUMMYFUNCTION("IF(B245="""","" "",IMPORTRANGE(B245,""'export'!i13""))")," ")</f>
        <v> </v>
      </c>
      <c r="R245" s="31" t="str">
        <f t="shared" si="2"/>
        <v/>
      </c>
      <c r="S245" s="32" t="str">
        <f>IFERROR(__xludf.DUMMYFUNCTION("IF(B245="""","" "",IMPORTRANGE(B245,""'export'!g1""))")," ")</f>
        <v> </v>
      </c>
    </row>
    <row r="246">
      <c r="A246" s="18"/>
      <c r="B246" s="35"/>
      <c r="C246" s="20" t="str">
        <f>IFERROR(__xludf.DUMMYFUNCTION("IF(B246="""","" "",IMPORTRANGE(B246,""'Export'!m1""))")," ")</f>
        <v> </v>
      </c>
      <c r="D246" s="21" t="str">
        <f t="shared" si="1"/>
        <v> ,  ,  </v>
      </c>
      <c r="E246" s="22" t="str">
        <f>IFERROR(__xludf.DUMMYFUNCTION("IF(B246="""","" "",IMPORTRANGE(B246,""'EXPORT'!L1""))")," ")</f>
        <v> </v>
      </c>
      <c r="F246" s="23" t="str">
        <f>IFERROR(__xludf.DUMMYFUNCTION("IF(B246="""","" "",IMPORTRANGE(B246,""'Export'!a1""))")," ")</f>
        <v> </v>
      </c>
      <c r="G246" s="23" t="str">
        <f>IFERROR(__xludf.DUMMYFUNCTION("IF(B246="""","" "",IMPORTRANGE(B246,""'export'!b1""))")," ")</f>
        <v> </v>
      </c>
      <c r="H246" s="23" t="str">
        <f>IFERROR(__xludf.DUMMYFUNCTION("IF(B246="""","" "",IMPORTRANGE(B246,""'export'!c1""))")," ")</f>
        <v> </v>
      </c>
      <c r="I246" s="24" t="str">
        <f>IFERROR(__xludf.DUMMYFUNCTION("IF(B246="""","" "",IMPORTRANGE(B246,""'export'!d1""))")," ")</f>
        <v> </v>
      </c>
      <c r="J246" s="25" t="str">
        <f>IFERROR(__xludf.DUMMYFUNCTION("IF(B246="""","" "",IMPORTRANGE(B246,""'export'!e1""))")," ")</f>
        <v> </v>
      </c>
      <c r="K246" s="25"/>
      <c r="L246" s="21" t="str">
        <f>IFERROR(__xludf.DUMMYFUNCTION("IF(B246="""","" "",IMPORTRANGE(B246,""'export'!f1""))")," ")</f>
        <v> </v>
      </c>
      <c r="M246" s="26" t="str">
        <f>IFERROR(__xludf.DUMMYFUNCTION("IF(B246="""","" "",IMPORTRANGE(B246,""'export'!h3""))")," ")</f>
        <v> </v>
      </c>
      <c r="N246" s="27" t="str">
        <f>IFERROR(__xludf.DUMMYFUNCTION("IF(B246="""","" "",IMPORTRANGE(B246,""'export'!h1""))")," ")</f>
        <v> </v>
      </c>
      <c r="O246" s="28" t="str">
        <f>IFERROR(__xludf.DUMMYFUNCTION("IF(B246="""","" "",IMPORTRANGE(B246,""'export'!h11""))")," ")</f>
        <v> </v>
      </c>
      <c r="P246" s="29" t="str">
        <f>IFERROR(__xludf.DUMMYFUNCTION("IF(B246="""","" "",IMPORTRANGE(B246,""'export'!i1""))")," ")</f>
        <v> </v>
      </c>
      <c r="Q246" s="30" t="str">
        <f>IFERROR(__xludf.DUMMYFUNCTION("IF(B246="""","" "",IMPORTRANGE(B246,""'export'!i13""))")," ")</f>
        <v> </v>
      </c>
      <c r="R246" s="31" t="str">
        <f t="shared" si="2"/>
        <v/>
      </c>
      <c r="S246" s="32" t="str">
        <f>IFERROR(__xludf.DUMMYFUNCTION("IF(B246="""","" "",IMPORTRANGE(B246,""'export'!g1""))")," ")</f>
        <v> </v>
      </c>
    </row>
    <row r="247">
      <c r="A247" s="18"/>
      <c r="B247" s="35"/>
      <c r="C247" s="20" t="str">
        <f>IFERROR(__xludf.DUMMYFUNCTION("IF(B247="""","" "",IMPORTRANGE(B247,""'Export'!m1""))")," ")</f>
        <v> </v>
      </c>
      <c r="D247" s="21" t="str">
        <f t="shared" si="1"/>
        <v> ,  ,  </v>
      </c>
      <c r="E247" s="22" t="str">
        <f>IFERROR(__xludf.DUMMYFUNCTION("IF(B247="""","" "",IMPORTRANGE(B247,""'EXPORT'!L1""))")," ")</f>
        <v> </v>
      </c>
      <c r="F247" s="23" t="str">
        <f>IFERROR(__xludf.DUMMYFUNCTION("IF(B247="""","" "",IMPORTRANGE(B247,""'Export'!a1""))")," ")</f>
        <v> </v>
      </c>
      <c r="G247" s="23" t="str">
        <f>IFERROR(__xludf.DUMMYFUNCTION("IF(B247="""","" "",IMPORTRANGE(B247,""'export'!b1""))")," ")</f>
        <v> </v>
      </c>
      <c r="H247" s="23" t="str">
        <f>IFERROR(__xludf.DUMMYFUNCTION("IF(B247="""","" "",IMPORTRANGE(B247,""'export'!c1""))")," ")</f>
        <v> </v>
      </c>
      <c r="I247" s="24" t="str">
        <f>IFERROR(__xludf.DUMMYFUNCTION("IF(B247="""","" "",IMPORTRANGE(B247,""'export'!d1""))")," ")</f>
        <v> </v>
      </c>
      <c r="J247" s="25" t="str">
        <f>IFERROR(__xludf.DUMMYFUNCTION("IF(B247="""","" "",IMPORTRANGE(B247,""'export'!e1""))")," ")</f>
        <v> </v>
      </c>
      <c r="K247" s="25"/>
      <c r="L247" s="21" t="str">
        <f>IFERROR(__xludf.DUMMYFUNCTION("IF(B247="""","" "",IMPORTRANGE(B247,""'export'!f1""))")," ")</f>
        <v> </v>
      </c>
      <c r="M247" s="26" t="str">
        <f>IFERROR(__xludf.DUMMYFUNCTION("IF(B247="""","" "",IMPORTRANGE(B247,""'export'!h3""))")," ")</f>
        <v> </v>
      </c>
      <c r="N247" s="27" t="str">
        <f>IFERROR(__xludf.DUMMYFUNCTION("IF(B247="""","" "",IMPORTRANGE(B247,""'export'!h1""))")," ")</f>
        <v> </v>
      </c>
      <c r="O247" s="28" t="str">
        <f>IFERROR(__xludf.DUMMYFUNCTION("IF(B247="""","" "",IMPORTRANGE(B247,""'export'!h11""))")," ")</f>
        <v> </v>
      </c>
      <c r="P247" s="29" t="str">
        <f>IFERROR(__xludf.DUMMYFUNCTION("IF(B247="""","" "",IMPORTRANGE(B247,""'export'!i1""))")," ")</f>
        <v> </v>
      </c>
      <c r="Q247" s="30" t="str">
        <f>IFERROR(__xludf.DUMMYFUNCTION("IF(B247="""","" "",IMPORTRANGE(B247,""'export'!i13""))")," ")</f>
        <v> </v>
      </c>
      <c r="R247" s="31" t="str">
        <f t="shared" si="2"/>
        <v/>
      </c>
      <c r="S247" s="32" t="str">
        <f>IFERROR(__xludf.DUMMYFUNCTION("IF(B247="""","" "",IMPORTRANGE(B247,""'export'!g1""))")," ")</f>
        <v> </v>
      </c>
    </row>
    <row r="248">
      <c r="A248" s="18"/>
      <c r="B248" s="35"/>
      <c r="C248" s="20" t="str">
        <f>IFERROR(__xludf.DUMMYFUNCTION("IF(B248="""","" "",IMPORTRANGE(B248,""'Export'!m1""))")," ")</f>
        <v> </v>
      </c>
      <c r="D248" s="21" t="str">
        <f t="shared" si="1"/>
        <v> ,  ,  </v>
      </c>
      <c r="E248" s="22" t="str">
        <f>IFERROR(__xludf.DUMMYFUNCTION("IF(B248="""","" "",IMPORTRANGE(B248,""'EXPORT'!L1""))")," ")</f>
        <v> </v>
      </c>
      <c r="F248" s="23" t="str">
        <f>IFERROR(__xludf.DUMMYFUNCTION("IF(B248="""","" "",IMPORTRANGE(B248,""'Export'!a1""))")," ")</f>
        <v> </v>
      </c>
      <c r="G248" s="23" t="str">
        <f>IFERROR(__xludf.DUMMYFUNCTION("IF(B248="""","" "",IMPORTRANGE(B248,""'export'!b1""))")," ")</f>
        <v> </v>
      </c>
      <c r="H248" s="23" t="str">
        <f>IFERROR(__xludf.DUMMYFUNCTION("IF(B248="""","" "",IMPORTRANGE(B248,""'export'!c1""))")," ")</f>
        <v> </v>
      </c>
      <c r="I248" s="24" t="str">
        <f>IFERROR(__xludf.DUMMYFUNCTION("IF(B248="""","" "",IMPORTRANGE(B248,""'export'!d1""))")," ")</f>
        <v> </v>
      </c>
      <c r="J248" s="25" t="str">
        <f>IFERROR(__xludf.DUMMYFUNCTION("IF(B248="""","" "",IMPORTRANGE(B248,""'export'!e1""))")," ")</f>
        <v> </v>
      </c>
      <c r="K248" s="25"/>
      <c r="L248" s="21" t="str">
        <f>IFERROR(__xludf.DUMMYFUNCTION("IF(B248="""","" "",IMPORTRANGE(B248,""'export'!f1""))")," ")</f>
        <v> </v>
      </c>
      <c r="M248" s="26" t="str">
        <f>IFERROR(__xludf.DUMMYFUNCTION("IF(B248="""","" "",IMPORTRANGE(B248,""'export'!h3""))")," ")</f>
        <v> </v>
      </c>
      <c r="N248" s="27" t="str">
        <f>IFERROR(__xludf.DUMMYFUNCTION("IF(B248="""","" "",IMPORTRANGE(B248,""'export'!h1""))")," ")</f>
        <v> </v>
      </c>
      <c r="O248" s="28" t="str">
        <f>IFERROR(__xludf.DUMMYFUNCTION("IF(B248="""","" "",IMPORTRANGE(B248,""'export'!h11""))")," ")</f>
        <v> </v>
      </c>
      <c r="P248" s="29" t="str">
        <f>IFERROR(__xludf.DUMMYFUNCTION("IF(B248="""","" "",IMPORTRANGE(B248,""'export'!i1""))")," ")</f>
        <v> </v>
      </c>
      <c r="Q248" s="30" t="str">
        <f>IFERROR(__xludf.DUMMYFUNCTION("IF(B248="""","" "",IMPORTRANGE(B248,""'export'!i13""))")," ")</f>
        <v> </v>
      </c>
      <c r="R248" s="31" t="str">
        <f t="shared" si="2"/>
        <v/>
      </c>
      <c r="S248" s="32" t="str">
        <f>IFERROR(__xludf.DUMMYFUNCTION("IF(B248="""","" "",IMPORTRANGE(B248,""'export'!g1""))")," ")</f>
        <v> </v>
      </c>
    </row>
    <row r="249">
      <c r="A249" s="18"/>
      <c r="B249" s="35"/>
      <c r="C249" s="20" t="str">
        <f>IFERROR(__xludf.DUMMYFUNCTION("IF(B249="""","" "",IMPORTRANGE(B249,""'Export'!m1""))")," ")</f>
        <v> </v>
      </c>
      <c r="D249" s="21" t="str">
        <f t="shared" si="1"/>
        <v> ,  ,  </v>
      </c>
      <c r="E249" s="22" t="str">
        <f>IFERROR(__xludf.DUMMYFUNCTION("IF(B249="""","" "",IMPORTRANGE(B249,""'EXPORT'!L1""))")," ")</f>
        <v> </v>
      </c>
      <c r="F249" s="23" t="str">
        <f>IFERROR(__xludf.DUMMYFUNCTION("IF(B249="""","" "",IMPORTRANGE(B249,""'Export'!a1""))")," ")</f>
        <v> </v>
      </c>
      <c r="G249" s="23" t="str">
        <f>IFERROR(__xludf.DUMMYFUNCTION("IF(B249="""","" "",IMPORTRANGE(B249,""'export'!b1""))")," ")</f>
        <v> </v>
      </c>
      <c r="H249" s="23" t="str">
        <f>IFERROR(__xludf.DUMMYFUNCTION("IF(B249="""","" "",IMPORTRANGE(B249,""'export'!c1""))")," ")</f>
        <v> </v>
      </c>
      <c r="I249" s="24" t="str">
        <f>IFERROR(__xludf.DUMMYFUNCTION("IF(B249="""","" "",IMPORTRANGE(B249,""'export'!d1""))")," ")</f>
        <v> </v>
      </c>
      <c r="J249" s="25" t="str">
        <f>IFERROR(__xludf.DUMMYFUNCTION("IF(B249="""","" "",IMPORTRANGE(B249,""'export'!e1""))")," ")</f>
        <v> </v>
      </c>
      <c r="K249" s="25"/>
      <c r="L249" s="21" t="str">
        <f>IFERROR(__xludf.DUMMYFUNCTION("IF(B249="""","" "",IMPORTRANGE(B249,""'export'!f1""))")," ")</f>
        <v> </v>
      </c>
      <c r="M249" s="26" t="str">
        <f>IFERROR(__xludf.DUMMYFUNCTION("IF(B249="""","" "",IMPORTRANGE(B249,""'export'!h3""))")," ")</f>
        <v> </v>
      </c>
      <c r="N249" s="27" t="str">
        <f>IFERROR(__xludf.DUMMYFUNCTION("IF(B249="""","" "",IMPORTRANGE(B249,""'export'!h1""))")," ")</f>
        <v> </v>
      </c>
      <c r="O249" s="28" t="str">
        <f>IFERROR(__xludf.DUMMYFUNCTION("IF(B249="""","" "",IMPORTRANGE(B249,""'export'!h11""))")," ")</f>
        <v> </v>
      </c>
      <c r="P249" s="29" t="str">
        <f>IFERROR(__xludf.DUMMYFUNCTION("IF(B249="""","" "",IMPORTRANGE(B249,""'export'!i1""))")," ")</f>
        <v> </v>
      </c>
      <c r="Q249" s="30" t="str">
        <f>IFERROR(__xludf.DUMMYFUNCTION("IF(B249="""","" "",IMPORTRANGE(B249,""'export'!i13""))")," ")</f>
        <v> </v>
      </c>
      <c r="R249" s="31" t="str">
        <f t="shared" si="2"/>
        <v/>
      </c>
      <c r="S249" s="32" t="str">
        <f>IFERROR(__xludf.DUMMYFUNCTION("IF(B249="""","" "",IMPORTRANGE(B249,""'export'!g1""))")," ")</f>
        <v> </v>
      </c>
    </row>
    <row r="250">
      <c r="A250" s="18"/>
      <c r="B250" s="35"/>
      <c r="C250" s="20" t="str">
        <f>IFERROR(__xludf.DUMMYFUNCTION("IF(B250="""","" "",IMPORTRANGE(B250,""'Export'!m1""))")," ")</f>
        <v> </v>
      </c>
      <c r="D250" s="21" t="str">
        <f t="shared" si="1"/>
        <v> ,  ,  </v>
      </c>
      <c r="E250" s="22" t="str">
        <f>IFERROR(__xludf.DUMMYFUNCTION("IF(B250="""","" "",IMPORTRANGE(B250,""'EXPORT'!L1""))")," ")</f>
        <v> </v>
      </c>
      <c r="F250" s="23" t="str">
        <f>IFERROR(__xludf.DUMMYFUNCTION("IF(B250="""","" "",IMPORTRANGE(B250,""'Export'!a1""))")," ")</f>
        <v> </v>
      </c>
      <c r="G250" s="23" t="str">
        <f>IFERROR(__xludf.DUMMYFUNCTION("IF(B250="""","" "",IMPORTRANGE(B250,""'export'!b1""))")," ")</f>
        <v> </v>
      </c>
      <c r="H250" s="23" t="str">
        <f>IFERROR(__xludf.DUMMYFUNCTION("IF(B250="""","" "",IMPORTRANGE(B250,""'export'!c1""))")," ")</f>
        <v> </v>
      </c>
      <c r="I250" s="24" t="str">
        <f>IFERROR(__xludf.DUMMYFUNCTION("IF(B250="""","" "",IMPORTRANGE(B250,""'export'!d1""))")," ")</f>
        <v> </v>
      </c>
      <c r="J250" s="25" t="str">
        <f>IFERROR(__xludf.DUMMYFUNCTION("IF(B250="""","" "",IMPORTRANGE(B250,""'export'!e1""))")," ")</f>
        <v> </v>
      </c>
      <c r="K250" s="25"/>
      <c r="L250" s="21" t="str">
        <f>IFERROR(__xludf.DUMMYFUNCTION("IF(B250="""","" "",IMPORTRANGE(B250,""'export'!f1""))")," ")</f>
        <v> </v>
      </c>
      <c r="M250" s="26" t="str">
        <f>IFERROR(__xludf.DUMMYFUNCTION("IF(B250="""","" "",IMPORTRANGE(B250,""'export'!h3""))")," ")</f>
        <v> </v>
      </c>
      <c r="N250" s="27" t="str">
        <f>IFERROR(__xludf.DUMMYFUNCTION("IF(B250="""","" "",IMPORTRANGE(B250,""'export'!h1""))")," ")</f>
        <v> </v>
      </c>
      <c r="O250" s="28" t="str">
        <f>IFERROR(__xludf.DUMMYFUNCTION("IF(B250="""","" "",IMPORTRANGE(B250,""'export'!h11""))")," ")</f>
        <v> </v>
      </c>
      <c r="P250" s="29" t="str">
        <f>IFERROR(__xludf.DUMMYFUNCTION("IF(B250="""","" "",IMPORTRANGE(B250,""'export'!i1""))")," ")</f>
        <v> </v>
      </c>
      <c r="Q250" s="30" t="str">
        <f>IFERROR(__xludf.DUMMYFUNCTION("IF(B250="""","" "",IMPORTRANGE(B250,""'export'!i13""))")," ")</f>
        <v> </v>
      </c>
      <c r="R250" s="31" t="str">
        <f t="shared" si="2"/>
        <v/>
      </c>
      <c r="S250" s="32" t="str">
        <f>IFERROR(__xludf.DUMMYFUNCTION("IF(B250="""","" "",IMPORTRANGE(B250,""'export'!g1""))")," ")</f>
        <v> </v>
      </c>
    </row>
    <row r="251">
      <c r="A251" s="18"/>
      <c r="B251" s="35"/>
      <c r="C251" s="20" t="str">
        <f>IFERROR(__xludf.DUMMYFUNCTION("IF(B251="""","" "",IMPORTRANGE(B251,""'Export'!m1""))")," ")</f>
        <v> </v>
      </c>
      <c r="D251" s="21" t="str">
        <f t="shared" si="1"/>
        <v> ,  ,  </v>
      </c>
      <c r="E251" s="22" t="str">
        <f>IFERROR(__xludf.DUMMYFUNCTION("IF(B251="""","" "",IMPORTRANGE(B251,""'EXPORT'!L1""))")," ")</f>
        <v> </v>
      </c>
      <c r="F251" s="23" t="str">
        <f>IFERROR(__xludf.DUMMYFUNCTION("IF(B251="""","" "",IMPORTRANGE(B251,""'Export'!a1""))")," ")</f>
        <v> </v>
      </c>
      <c r="G251" s="23" t="str">
        <f>IFERROR(__xludf.DUMMYFUNCTION("IF(B251="""","" "",IMPORTRANGE(B251,""'export'!b1""))")," ")</f>
        <v> </v>
      </c>
      <c r="H251" s="23" t="str">
        <f>IFERROR(__xludf.DUMMYFUNCTION("IF(B251="""","" "",IMPORTRANGE(B251,""'export'!c1""))")," ")</f>
        <v> </v>
      </c>
      <c r="I251" s="24" t="str">
        <f>IFERROR(__xludf.DUMMYFUNCTION("IF(B251="""","" "",IMPORTRANGE(B251,""'export'!d1""))")," ")</f>
        <v> </v>
      </c>
      <c r="J251" s="25" t="str">
        <f>IFERROR(__xludf.DUMMYFUNCTION("IF(B251="""","" "",IMPORTRANGE(B251,""'export'!e1""))")," ")</f>
        <v> </v>
      </c>
      <c r="K251" s="25"/>
      <c r="L251" s="21" t="str">
        <f>IFERROR(__xludf.DUMMYFUNCTION("IF(B251="""","" "",IMPORTRANGE(B251,""'export'!f1""))")," ")</f>
        <v> </v>
      </c>
      <c r="M251" s="26" t="str">
        <f>IFERROR(__xludf.DUMMYFUNCTION("IF(B251="""","" "",IMPORTRANGE(B251,""'export'!h3""))")," ")</f>
        <v> </v>
      </c>
      <c r="N251" s="27" t="str">
        <f>IFERROR(__xludf.DUMMYFUNCTION("IF(B251="""","" "",IMPORTRANGE(B251,""'export'!h1""))")," ")</f>
        <v> </v>
      </c>
      <c r="O251" s="28" t="str">
        <f>IFERROR(__xludf.DUMMYFUNCTION("IF(B251="""","" "",IMPORTRANGE(B251,""'export'!h11""))")," ")</f>
        <v> </v>
      </c>
      <c r="P251" s="29" t="str">
        <f>IFERROR(__xludf.DUMMYFUNCTION("IF(B251="""","" "",IMPORTRANGE(B251,""'export'!i1""))")," ")</f>
        <v> </v>
      </c>
      <c r="Q251" s="30" t="str">
        <f>IFERROR(__xludf.DUMMYFUNCTION("IF(B251="""","" "",IMPORTRANGE(B251,""'export'!i13""))")," ")</f>
        <v> </v>
      </c>
      <c r="R251" s="31" t="str">
        <f t="shared" si="2"/>
        <v/>
      </c>
      <c r="S251" s="32" t="str">
        <f>IFERROR(__xludf.DUMMYFUNCTION("IF(B251="""","" "",IMPORTRANGE(B251,""'export'!g1""))")," ")</f>
        <v> </v>
      </c>
    </row>
    <row r="252">
      <c r="A252" s="18"/>
      <c r="B252" s="35"/>
      <c r="C252" s="20" t="str">
        <f>IFERROR(__xludf.DUMMYFUNCTION("IF(B252="""","" "",IMPORTRANGE(B252,""'Export'!m1""))")," ")</f>
        <v> </v>
      </c>
      <c r="D252" s="21" t="str">
        <f t="shared" si="1"/>
        <v> ,  ,  </v>
      </c>
      <c r="E252" s="22" t="str">
        <f>IFERROR(__xludf.DUMMYFUNCTION("IF(B252="""","" "",IMPORTRANGE(B252,""'EXPORT'!L1""))")," ")</f>
        <v> </v>
      </c>
      <c r="F252" s="23" t="str">
        <f>IFERROR(__xludf.DUMMYFUNCTION("IF(B252="""","" "",IMPORTRANGE(B252,""'Export'!a1""))")," ")</f>
        <v> </v>
      </c>
      <c r="G252" s="23" t="str">
        <f>IFERROR(__xludf.DUMMYFUNCTION("IF(B252="""","" "",IMPORTRANGE(B252,""'export'!b1""))")," ")</f>
        <v> </v>
      </c>
      <c r="H252" s="23" t="str">
        <f>IFERROR(__xludf.DUMMYFUNCTION("IF(B252="""","" "",IMPORTRANGE(B252,""'export'!c1""))")," ")</f>
        <v> </v>
      </c>
      <c r="I252" s="24" t="str">
        <f>IFERROR(__xludf.DUMMYFUNCTION("IF(B252="""","" "",IMPORTRANGE(B252,""'export'!d1""))")," ")</f>
        <v> </v>
      </c>
      <c r="J252" s="25" t="str">
        <f>IFERROR(__xludf.DUMMYFUNCTION("IF(B252="""","" "",IMPORTRANGE(B252,""'export'!e1""))")," ")</f>
        <v> </v>
      </c>
      <c r="K252" s="25"/>
      <c r="L252" s="21" t="str">
        <f>IFERROR(__xludf.DUMMYFUNCTION("IF(B252="""","" "",IMPORTRANGE(B252,""'export'!f1""))")," ")</f>
        <v> </v>
      </c>
      <c r="M252" s="26" t="str">
        <f>IFERROR(__xludf.DUMMYFUNCTION("IF(B252="""","" "",IMPORTRANGE(B252,""'export'!h3""))")," ")</f>
        <v> </v>
      </c>
      <c r="N252" s="27" t="str">
        <f>IFERROR(__xludf.DUMMYFUNCTION("IF(B252="""","" "",IMPORTRANGE(B252,""'export'!h1""))")," ")</f>
        <v> </v>
      </c>
      <c r="O252" s="28" t="str">
        <f>IFERROR(__xludf.DUMMYFUNCTION("IF(B252="""","" "",IMPORTRANGE(B252,""'export'!h11""))")," ")</f>
        <v> </v>
      </c>
      <c r="P252" s="29" t="str">
        <f>IFERROR(__xludf.DUMMYFUNCTION("IF(B252="""","" "",IMPORTRANGE(B252,""'export'!i1""))")," ")</f>
        <v> </v>
      </c>
      <c r="Q252" s="30" t="str">
        <f>IFERROR(__xludf.DUMMYFUNCTION("IF(B252="""","" "",IMPORTRANGE(B252,""'export'!i13""))")," ")</f>
        <v> </v>
      </c>
      <c r="R252" s="31" t="str">
        <f t="shared" si="2"/>
        <v/>
      </c>
      <c r="S252" s="32" t="str">
        <f>IFERROR(__xludf.DUMMYFUNCTION("IF(B252="""","" "",IMPORTRANGE(B252,""'export'!g1""))")," ")</f>
        <v> </v>
      </c>
    </row>
    <row r="253">
      <c r="A253" s="18"/>
      <c r="B253" s="35"/>
      <c r="C253" s="20" t="str">
        <f>IFERROR(__xludf.DUMMYFUNCTION("IF(B253="""","" "",IMPORTRANGE(B253,""'Export'!m1""))")," ")</f>
        <v> </v>
      </c>
      <c r="D253" s="21" t="str">
        <f t="shared" si="1"/>
        <v> ,  ,  </v>
      </c>
      <c r="E253" s="22" t="str">
        <f>IFERROR(__xludf.DUMMYFUNCTION("IF(B253="""","" "",IMPORTRANGE(B253,""'EXPORT'!L1""))")," ")</f>
        <v> </v>
      </c>
      <c r="F253" s="23" t="str">
        <f>IFERROR(__xludf.DUMMYFUNCTION("IF(B253="""","" "",IMPORTRANGE(B253,""'Export'!a1""))")," ")</f>
        <v> </v>
      </c>
      <c r="G253" s="23" t="str">
        <f>IFERROR(__xludf.DUMMYFUNCTION("IF(B253="""","" "",IMPORTRANGE(B253,""'export'!b1""))")," ")</f>
        <v> </v>
      </c>
      <c r="H253" s="23" t="str">
        <f>IFERROR(__xludf.DUMMYFUNCTION("IF(B253="""","" "",IMPORTRANGE(B253,""'export'!c1""))")," ")</f>
        <v> </v>
      </c>
      <c r="I253" s="24" t="str">
        <f>IFERROR(__xludf.DUMMYFUNCTION("IF(B253="""","" "",IMPORTRANGE(B253,""'export'!d1""))")," ")</f>
        <v> </v>
      </c>
      <c r="J253" s="25" t="str">
        <f>IFERROR(__xludf.DUMMYFUNCTION("IF(B253="""","" "",IMPORTRANGE(B253,""'export'!e1""))")," ")</f>
        <v> </v>
      </c>
      <c r="K253" s="25"/>
      <c r="L253" s="21" t="str">
        <f>IFERROR(__xludf.DUMMYFUNCTION("IF(B253="""","" "",IMPORTRANGE(B253,""'export'!f1""))")," ")</f>
        <v> </v>
      </c>
      <c r="M253" s="26" t="str">
        <f>IFERROR(__xludf.DUMMYFUNCTION("IF(B253="""","" "",IMPORTRANGE(B253,""'export'!h3""))")," ")</f>
        <v> </v>
      </c>
      <c r="N253" s="27" t="str">
        <f>IFERROR(__xludf.DUMMYFUNCTION("IF(B253="""","" "",IMPORTRANGE(B253,""'export'!h1""))")," ")</f>
        <v> </v>
      </c>
      <c r="O253" s="28" t="str">
        <f>IFERROR(__xludf.DUMMYFUNCTION("IF(B253="""","" "",IMPORTRANGE(B253,""'export'!h11""))")," ")</f>
        <v> </v>
      </c>
      <c r="P253" s="29" t="str">
        <f>IFERROR(__xludf.DUMMYFUNCTION("IF(B253="""","" "",IMPORTRANGE(B253,""'export'!i1""))")," ")</f>
        <v> </v>
      </c>
      <c r="Q253" s="30" t="str">
        <f>IFERROR(__xludf.DUMMYFUNCTION("IF(B253="""","" "",IMPORTRANGE(B253,""'export'!i13""))")," ")</f>
        <v> </v>
      </c>
      <c r="R253" s="31" t="str">
        <f t="shared" si="2"/>
        <v/>
      </c>
      <c r="S253" s="32" t="str">
        <f>IFERROR(__xludf.DUMMYFUNCTION("IF(B253="""","" "",IMPORTRANGE(B253,""'export'!g1""))")," ")</f>
        <v> </v>
      </c>
    </row>
    <row r="254">
      <c r="A254" s="18"/>
      <c r="B254" s="35"/>
      <c r="C254" s="20" t="str">
        <f>IFERROR(__xludf.DUMMYFUNCTION("IF(B254="""","" "",IMPORTRANGE(B254,""'Export'!m1""))")," ")</f>
        <v> </v>
      </c>
      <c r="D254" s="21" t="str">
        <f t="shared" si="1"/>
        <v> ,  ,  </v>
      </c>
      <c r="E254" s="22" t="str">
        <f>IFERROR(__xludf.DUMMYFUNCTION("IF(B254="""","" "",IMPORTRANGE(B254,""'EXPORT'!L1""))")," ")</f>
        <v> </v>
      </c>
      <c r="F254" s="23" t="str">
        <f>IFERROR(__xludf.DUMMYFUNCTION("IF(B254="""","" "",IMPORTRANGE(B254,""'Export'!a1""))")," ")</f>
        <v> </v>
      </c>
      <c r="G254" s="23" t="str">
        <f>IFERROR(__xludf.DUMMYFUNCTION("IF(B254="""","" "",IMPORTRANGE(B254,""'export'!b1""))")," ")</f>
        <v> </v>
      </c>
      <c r="H254" s="23" t="str">
        <f>IFERROR(__xludf.DUMMYFUNCTION("IF(B254="""","" "",IMPORTRANGE(B254,""'export'!c1""))")," ")</f>
        <v> </v>
      </c>
      <c r="I254" s="24" t="str">
        <f>IFERROR(__xludf.DUMMYFUNCTION("IF(B254="""","" "",IMPORTRANGE(B254,""'export'!d1""))")," ")</f>
        <v> </v>
      </c>
      <c r="J254" s="25" t="str">
        <f>IFERROR(__xludf.DUMMYFUNCTION("IF(B254="""","" "",IMPORTRANGE(B254,""'export'!e1""))")," ")</f>
        <v> </v>
      </c>
      <c r="K254" s="25"/>
      <c r="L254" s="21" t="str">
        <f>IFERROR(__xludf.DUMMYFUNCTION("IF(B254="""","" "",IMPORTRANGE(B254,""'export'!f1""))")," ")</f>
        <v> </v>
      </c>
      <c r="M254" s="26" t="str">
        <f>IFERROR(__xludf.DUMMYFUNCTION("IF(B254="""","" "",IMPORTRANGE(B254,""'export'!h3""))")," ")</f>
        <v> </v>
      </c>
      <c r="N254" s="27" t="str">
        <f>IFERROR(__xludf.DUMMYFUNCTION("IF(B254="""","" "",IMPORTRANGE(B254,""'export'!h1""))")," ")</f>
        <v> </v>
      </c>
      <c r="O254" s="28" t="str">
        <f>IFERROR(__xludf.DUMMYFUNCTION("IF(B254="""","" "",IMPORTRANGE(B254,""'export'!h11""))")," ")</f>
        <v> </v>
      </c>
      <c r="P254" s="29" t="str">
        <f>IFERROR(__xludf.DUMMYFUNCTION("IF(B254="""","" "",IMPORTRANGE(B254,""'export'!i1""))")," ")</f>
        <v> </v>
      </c>
      <c r="Q254" s="30" t="str">
        <f>IFERROR(__xludf.DUMMYFUNCTION("IF(B254="""","" "",IMPORTRANGE(B254,""'export'!i13""))")," ")</f>
        <v> </v>
      </c>
      <c r="R254" s="31" t="str">
        <f t="shared" si="2"/>
        <v/>
      </c>
      <c r="S254" s="32" t="str">
        <f>IFERROR(__xludf.DUMMYFUNCTION("IF(B254="""","" "",IMPORTRANGE(B254,""'export'!g1""))")," ")</f>
        <v> </v>
      </c>
    </row>
    <row r="255">
      <c r="A255" s="18"/>
      <c r="B255" s="35"/>
      <c r="C255" s="20" t="str">
        <f>IFERROR(__xludf.DUMMYFUNCTION("IF(B255="""","" "",IMPORTRANGE(B255,""'Export'!m1""))")," ")</f>
        <v> </v>
      </c>
      <c r="D255" s="21" t="str">
        <f t="shared" si="1"/>
        <v> ,  ,  </v>
      </c>
      <c r="E255" s="22" t="str">
        <f>IFERROR(__xludf.DUMMYFUNCTION("IF(B255="""","" "",IMPORTRANGE(B255,""'EXPORT'!L1""))")," ")</f>
        <v> </v>
      </c>
      <c r="F255" s="23" t="str">
        <f>IFERROR(__xludf.DUMMYFUNCTION("IF(B255="""","" "",IMPORTRANGE(B255,""'Export'!a1""))")," ")</f>
        <v> </v>
      </c>
      <c r="G255" s="23" t="str">
        <f>IFERROR(__xludf.DUMMYFUNCTION("IF(B255="""","" "",IMPORTRANGE(B255,""'export'!b1""))")," ")</f>
        <v> </v>
      </c>
      <c r="H255" s="23" t="str">
        <f>IFERROR(__xludf.DUMMYFUNCTION("IF(B255="""","" "",IMPORTRANGE(B255,""'export'!c1""))")," ")</f>
        <v> </v>
      </c>
      <c r="I255" s="24" t="str">
        <f>IFERROR(__xludf.DUMMYFUNCTION("IF(B255="""","" "",IMPORTRANGE(B255,""'export'!d1""))")," ")</f>
        <v> </v>
      </c>
      <c r="J255" s="25" t="str">
        <f>IFERROR(__xludf.DUMMYFUNCTION("IF(B255="""","" "",IMPORTRANGE(B255,""'export'!e1""))")," ")</f>
        <v> </v>
      </c>
      <c r="K255" s="25"/>
      <c r="L255" s="21" t="str">
        <f>IFERROR(__xludf.DUMMYFUNCTION("IF(B255="""","" "",IMPORTRANGE(B255,""'export'!f1""))")," ")</f>
        <v> </v>
      </c>
      <c r="M255" s="26" t="str">
        <f>IFERROR(__xludf.DUMMYFUNCTION("IF(B255="""","" "",IMPORTRANGE(B255,""'export'!h3""))")," ")</f>
        <v> </v>
      </c>
      <c r="N255" s="27" t="str">
        <f>IFERROR(__xludf.DUMMYFUNCTION("IF(B255="""","" "",IMPORTRANGE(B255,""'export'!h1""))")," ")</f>
        <v> </v>
      </c>
      <c r="O255" s="28" t="str">
        <f>IFERROR(__xludf.DUMMYFUNCTION("IF(B255="""","" "",IMPORTRANGE(B255,""'export'!h11""))")," ")</f>
        <v> </v>
      </c>
      <c r="P255" s="29" t="str">
        <f>IFERROR(__xludf.DUMMYFUNCTION("IF(B255="""","" "",IMPORTRANGE(B255,""'export'!i1""))")," ")</f>
        <v> </v>
      </c>
      <c r="Q255" s="30" t="str">
        <f>IFERROR(__xludf.DUMMYFUNCTION("IF(B255="""","" "",IMPORTRANGE(B255,""'export'!i13""))")," ")</f>
        <v> </v>
      </c>
      <c r="R255" s="31" t="str">
        <f t="shared" si="2"/>
        <v/>
      </c>
      <c r="S255" s="32" t="str">
        <f>IFERROR(__xludf.DUMMYFUNCTION("IF(B255="""","" "",IMPORTRANGE(B255,""'export'!g1""))")," ")</f>
        <v> </v>
      </c>
    </row>
    <row r="256">
      <c r="A256" s="18"/>
      <c r="B256" s="35"/>
      <c r="C256" s="20" t="str">
        <f>IFERROR(__xludf.DUMMYFUNCTION("IF(B256="""","" "",IMPORTRANGE(B256,""'Export'!m1""))")," ")</f>
        <v> </v>
      </c>
      <c r="D256" s="21" t="str">
        <f t="shared" si="1"/>
        <v> ,  ,  </v>
      </c>
      <c r="E256" s="22" t="str">
        <f>IFERROR(__xludf.DUMMYFUNCTION("IF(B256="""","" "",IMPORTRANGE(B256,""'EXPORT'!L1""))")," ")</f>
        <v> </v>
      </c>
      <c r="F256" s="23" t="str">
        <f>IFERROR(__xludf.DUMMYFUNCTION("IF(B256="""","" "",IMPORTRANGE(B256,""'Export'!a1""))")," ")</f>
        <v> </v>
      </c>
      <c r="G256" s="23" t="str">
        <f>IFERROR(__xludf.DUMMYFUNCTION("IF(B256="""","" "",IMPORTRANGE(B256,""'export'!b1""))")," ")</f>
        <v> </v>
      </c>
      <c r="H256" s="23" t="str">
        <f>IFERROR(__xludf.DUMMYFUNCTION("IF(B256="""","" "",IMPORTRANGE(B256,""'export'!c1""))")," ")</f>
        <v> </v>
      </c>
      <c r="I256" s="24" t="str">
        <f>IFERROR(__xludf.DUMMYFUNCTION("IF(B256="""","" "",IMPORTRANGE(B256,""'export'!d1""))")," ")</f>
        <v> </v>
      </c>
      <c r="J256" s="25" t="str">
        <f>IFERROR(__xludf.DUMMYFUNCTION("IF(B256="""","" "",IMPORTRANGE(B256,""'export'!e1""))")," ")</f>
        <v> </v>
      </c>
      <c r="K256" s="25"/>
      <c r="L256" s="21" t="str">
        <f>IFERROR(__xludf.DUMMYFUNCTION("IF(B256="""","" "",IMPORTRANGE(B256,""'export'!f1""))")," ")</f>
        <v> </v>
      </c>
      <c r="M256" s="26" t="str">
        <f>IFERROR(__xludf.DUMMYFUNCTION("IF(B256="""","" "",IMPORTRANGE(B256,""'export'!h3""))")," ")</f>
        <v> </v>
      </c>
      <c r="N256" s="27" t="str">
        <f>IFERROR(__xludf.DUMMYFUNCTION("IF(B256="""","" "",IMPORTRANGE(B256,""'export'!h1""))")," ")</f>
        <v> </v>
      </c>
      <c r="O256" s="28" t="str">
        <f>IFERROR(__xludf.DUMMYFUNCTION("IF(B256="""","" "",IMPORTRANGE(B256,""'export'!h11""))")," ")</f>
        <v> </v>
      </c>
      <c r="P256" s="29" t="str">
        <f>IFERROR(__xludf.DUMMYFUNCTION("IF(B256="""","" "",IMPORTRANGE(B256,""'export'!i1""))")," ")</f>
        <v> </v>
      </c>
      <c r="Q256" s="30" t="str">
        <f>IFERROR(__xludf.DUMMYFUNCTION("IF(B256="""","" "",IMPORTRANGE(B256,""'export'!i13""))")," ")</f>
        <v> </v>
      </c>
      <c r="R256" s="31" t="str">
        <f t="shared" si="2"/>
        <v/>
      </c>
      <c r="S256" s="32" t="str">
        <f>IFERROR(__xludf.DUMMYFUNCTION("IF(B256="""","" "",IMPORTRANGE(B256,""'export'!g1""))")," ")</f>
        <v> </v>
      </c>
    </row>
    <row r="257">
      <c r="A257" s="18"/>
      <c r="B257" s="35"/>
      <c r="C257" s="20" t="str">
        <f>IFERROR(__xludf.DUMMYFUNCTION("IF(B257="""","" "",IMPORTRANGE(B257,""'Export'!m1""))")," ")</f>
        <v> </v>
      </c>
      <c r="D257" s="21" t="str">
        <f t="shared" si="1"/>
        <v> ,  ,  </v>
      </c>
      <c r="E257" s="22" t="str">
        <f>IFERROR(__xludf.DUMMYFUNCTION("IF(B257="""","" "",IMPORTRANGE(B257,""'EXPORT'!L1""))")," ")</f>
        <v> </v>
      </c>
      <c r="F257" s="23" t="str">
        <f>IFERROR(__xludf.DUMMYFUNCTION("IF(B257="""","" "",IMPORTRANGE(B257,""'Export'!a1""))")," ")</f>
        <v> </v>
      </c>
      <c r="G257" s="23" t="str">
        <f>IFERROR(__xludf.DUMMYFUNCTION("IF(B257="""","" "",IMPORTRANGE(B257,""'export'!b1""))")," ")</f>
        <v> </v>
      </c>
      <c r="H257" s="23" t="str">
        <f>IFERROR(__xludf.DUMMYFUNCTION("IF(B257="""","" "",IMPORTRANGE(B257,""'export'!c1""))")," ")</f>
        <v> </v>
      </c>
      <c r="I257" s="24" t="str">
        <f>IFERROR(__xludf.DUMMYFUNCTION("IF(B257="""","" "",IMPORTRANGE(B257,""'export'!d1""))")," ")</f>
        <v> </v>
      </c>
      <c r="J257" s="25" t="str">
        <f>IFERROR(__xludf.DUMMYFUNCTION("IF(B257="""","" "",IMPORTRANGE(B257,""'export'!e1""))")," ")</f>
        <v> </v>
      </c>
      <c r="K257" s="25"/>
      <c r="L257" s="21" t="str">
        <f>IFERROR(__xludf.DUMMYFUNCTION("IF(B257="""","" "",IMPORTRANGE(B257,""'export'!f1""))")," ")</f>
        <v> </v>
      </c>
      <c r="M257" s="26" t="str">
        <f>IFERROR(__xludf.DUMMYFUNCTION("IF(B257="""","" "",IMPORTRANGE(B257,""'export'!h3""))")," ")</f>
        <v> </v>
      </c>
      <c r="N257" s="27" t="str">
        <f>IFERROR(__xludf.DUMMYFUNCTION("IF(B257="""","" "",IMPORTRANGE(B257,""'export'!h1""))")," ")</f>
        <v> </v>
      </c>
      <c r="O257" s="28" t="str">
        <f>IFERROR(__xludf.DUMMYFUNCTION("IF(B257="""","" "",IMPORTRANGE(B257,""'export'!h11""))")," ")</f>
        <v> </v>
      </c>
      <c r="P257" s="29" t="str">
        <f>IFERROR(__xludf.DUMMYFUNCTION("IF(B257="""","" "",IMPORTRANGE(B257,""'export'!i1""))")," ")</f>
        <v> </v>
      </c>
      <c r="Q257" s="30" t="str">
        <f>IFERROR(__xludf.DUMMYFUNCTION("IF(B257="""","" "",IMPORTRANGE(B257,""'export'!i13""))")," ")</f>
        <v> </v>
      </c>
      <c r="R257" s="31" t="str">
        <f t="shared" si="2"/>
        <v/>
      </c>
      <c r="S257" s="32" t="str">
        <f>IFERROR(__xludf.DUMMYFUNCTION("IF(B257="""","" "",IMPORTRANGE(B257,""'export'!g1""))")," ")</f>
        <v> </v>
      </c>
    </row>
    <row r="258">
      <c r="A258" s="18"/>
      <c r="B258" s="35"/>
      <c r="C258" s="20" t="str">
        <f>IFERROR(__xludf.DUMMYFUNCTION("IF(B258="""","" "",IMPORTRANGE(B258,""'Export'!m1""))")," ")</f>
        <v> </v>
      </c>
      <c r="D258" s="21" t="str">
        <f t="shared" si="1"/>
        <v> ,  ,  </v>
      </c>
      <c r="E258" s="22" t="str">
        <f>IFERROR(__xludf.DUMMYFUNCTION("IF(B258="""","" "",IMPORTRANGE(B258,""'EXPORT'!L1""))")," ")</f>
        <v> </v>
      </c>
      <c r="F258" s="23" t="str">
        <f>IFERROR(__xludf.DUMMYFUNCTION("IF(B258="""","" "",IMPORTRANGE(B258,""'Export'!a1""))")," ")</f>
        <v> </v>
      </c>
      <c r="G258" s="23" t="str">
        <f>IFERROR(__xludf.DUMMYFUNCTION("IF(B258="""","" "",IMPORTRANGE(B258,""'export'!b1""))")," ")</f>
        <v> </v>
      </c>
      <c r="H258" s="23" t="str">
        <f>IFERROR(__xludf.DUMMYFUNCTION("IF(B258="""","" "",IMPORTRANGE(B258,""'export'!c1""))")," ")</f>
        <v> </v>
      </c>
      <c r="I258" s="24" t="str">
        <f>IFERROR(__xludf.DUMMYFUNCTION("IF(B258="""","" "",IMPORTRANGE(B258,""'export'!d1""))")," ")</f>
        <v> </v>
      </c>
      <c r="J258" s="25" t="str">
        <f>IFERROR(__xludf.DUMMYFUNCTION("IF(B258="""","" "",IMPORTRANGE(B258,""'export'!e1""))")," ")</f>
        <v> </v>
      </c>
      <c r="K258" s="25"/>
      <c r="L258" s="21" t="str">
        <f>IFERROR(__xludf.DUMMYFUNCTION("IF(B258="""","" "",IMPORTRANGE(B258,""'export'!f1""))")," ")</f>
        <v> </v>
      </c>
      <c r="M258" s="26" t="str">
        <f>IFERROR(__xludf.DUMMYFUNCTION("IF(B258="""","" "",IMPORTRANGE(B258,""'export'!h3""))")," ")</f>
        <v> </v>
      </c>
      <c r="N258" s="27" t="str">
        <f>IFERROR(__xludf.DUMMYFUNCTION("IF(B258="""","" "",IMPORTRANGE(B258,""'export'!h1""))")," ")</f>
        <v> </v>
      </c>
      <c r="O258" s="28" t="str">
        <f>IFERROR(__xludf.DUMMYFUNCTION("IF(B258="""","" "",IMPORTRANGE(B258,""'export'!h11""))")," ")</f>
        <v> </v>
      </c>
      <c r="P258" s="29" t="str">
        <f>IFERROR(__xludf.DUMMYFUNCTION("IF(B258="""","" "",IMPORTRANGE(B258,""'export'!i1""))")," ")</f>
        <v> </v>
      </c>
      <c r="Q258" s="30" t="str">
        <f>IFERROR(__xludf.DUMMYFUNCTION("IF(B258="""","" "",IMPORTRANGE(B258,""'export'!i13""))")," ")</f>
        <v> </v>
      </c>
      <c r="R258" s="31" t="str">
        <f t="shared" si="2"/>
        <v/>
      </c>
      <c r="S258" s="32" t="str">
        <f>IFERROR(__xludf.DUMMYFUNCTION("IF(B258="""","" "",IMPORTRANGE(B258,""'export'!g1""))")," ")</f>
        <v> </v>
      </c>
    </row>
    <row r="259">
      <c r="A259" s="18"/>
      <c r="B259" s="35"/>
      <c r="C259" s="20" t="str">
        <f>IFERROR(__xludf.DUMMYFUNCTION("IF(B259="""","" "",IMPORTRANGE(B259,""'Export'!m1""))")," ")</f>
        <v> </v>
      </c>
      <c r="D259" s="21" t="str">
        <f t="shared" si="1"/>
        <v> ,  ,  </v>
      </c>
      <c r="E259" s="22" t="str">
        <f>IFERROR(__xludf.DUMMYFUNCTION("IF(B259="""","" "",IMPORTRANGE(B259,""'EXPORT'!L1""))")," ")</f>
        <v> </v>
      </c>
      <c r="F259" s="23" t="str">
        <f>IFERROR(__xludf.DUMMYFUNCTION("IF(B259="""","" "",IMPORTRANGE(B259,""'Export'!a1""))")," ")</f>
        <v> </v>
      </c>
      <c r="G259" s="23" t="str">
        <f>IFERROR(__xludf.DUMMYFUNCTION("IF(B259="""","" "",IMPORTRANGE(B259,""'export'!b1""))")," ")</f>
        <v> </v>
      </c>
      <c r="H259" s="23" t="str">
        <f>IFERROR(__xludf.DUMMYFUNCTION("IF(B259="""","" "",IMPORTRANGE(B259,""'export'!c1""))")," ")</f>
        <v> </v>
      </c>
      <c r="I259" s="24" t="str">
        <f>IFERROR(__xludf.DUMMYFUNCTION("IF(B259="""","" "",IMPORTRANGE(B259,""'export'!d1""))")," ")</f>
        <v> </v>
      </c>
      <c r="J259" s="25" t="str">
        <f>IFERROR(__xludf.DUMMYFUNCTION("IF(B259="""","" "",IMPORTRANGE(B259,""'export'!e1""))")," ")</f>
        <v> </v>
      </c>
      <c r="K259" s="25"/>
      <c r="L259" s="21" t="str">
        <f>IFERROR(__xludf.DUMMYFUNCTION("IF(B259="""","" "",IMPORTRANGE(B259,""'export'!f1""))")," ")</f>
        <v> </v>
      </c>
      <c r="M259" s="26" t="str">
        <f>IFERROR(__xludf.DUMMYFUNCTION("IF(B259="""","" "",IMPORTRANGE(B259,""'export'!h3""))")," ")</f>
        <v> </v>
      </c>
      <c r="N259" s="27" t="str">
        <f>IFERROR(__xludf.DUMMYFUNCTION("IF(B259="""","" "",IMPORTRANGE(B259,""'export'!h1""))")," ")</f>
        <v> </v>
      </c>
      <c r="O259" s="28" t="str">
        <f>IFERROR(__xludf.DUMMYFUNCTION("IF(B259="""","" "",IMPORTRANGE(B259,""'export'!h11""))")," ")</f>
        <v> </v>
      </c>
      <c r="P259" s="29" t="str">
        <f>IFERROR(__xludf.DUMMYFUNCTION("IF(B259="""","" "",IMPORTRANGE(B259,""'export'!i1""))")," ")</f>
        <v> </v>
      </c>
      <c r="Q259" s="30" t="str">
        <f>IFERROR(__xludf.DUMMYFUNCTION("IF(B259="""","" "",IMPORTRANGE(B259,""'export'!i13""))")," ")</f>
        <v> </v>
      </c>
      <c r="R259" s="31" t="str">
        <f t="shared" si="2"/>
        <v/>
      </c>
      <c r="S259" s="32" t="str">
        <f>IFERROR(__xludf.DUMMYFUNCTION("IF(B259="""","" "",IMPORTRANGE(B259,""'export'!g1""))")," ")</f>
        <v> </v>
      </c>
    </row>
    <row r="260">
      <c r="A260" s="18"/>
      <c r="B260" s="35"/>
      <c r="C260" s="20" t="str">
        <f>IFERROR(__xludf.DUMMYFUNCTION("IF(B260="""","" "",IMPORTRANGE(B260,""'Export'!m1""))")," ")</f>
        <v> </v>
      </c>
      <c r="D260" s="21" t="str">
        <f t="shared" si="1"/>
        <v> ,  ,  </v>
      </c>
      <c r="E260" s="22" t="str">
        <f>IFERROR(__xludf.DUMMYFUNCTION("IF(B260="""","" "",IMPORTRANGE(B260,""'EXPORT'!L1""))")," ")</f>
        <v> </v>
      </c>
      <c r="F260" s="23" t="str">
        <f>IFERROR(__xludf.DUMMYFUNCTION("IF(B260="""","" "",IMPORTRANGE(B260,""'Export'!a1""))")," ")</f>
        <v> </v>
      </c>
      <c r="G260" s="23" t="str">
        <f>IFERROR(__xludf.DUMMYFUNCTION("IF(B260="""","" "",IMPORTRANGE(B260,""'export'!b1""))")," ")</f>
        <v> </v>
      </c>
      <c r="H260" s="23" t="str">
        <f>IFERROR(__xludf.DUMMYFUNCTION("IF(B260="""","" "",IMPORTRANGE(B260,""'export'!c1""))")," ")</f>
        <v> </v>
      </c>
      <c r="I260" s="24" t="str">
        <f>IFERROR(__xludf.DUMMYFUNCTION("IF(B260="""","" "",IMPORTRANGE(B260,""'export'!d1""))")," ")</f>
        <v> </v>
      </c>
      <c r="J260" s="25" t="str">
        <f>IFERROR(__xludf.DUMMYFUNCTION("IF(B260="""","" "",IMPORTRANGE(B260,""'export'!e1""))")," ")</f>
        <v> </v>
      </c>
      <c r="K260" s="25"/>
      <c r="L260" s="21" t="str">
        <f>IFERROR(__xludf.DUMMYFUNCTION("IF(B260="""","" "",IMPORTRANGE(B260,""'export'!f1""))")," ")</f>
        <v> </v>
      </c>
      <c r="M260" s="26" t="str">
        <f>IFERROR(__xludf.DUMMYFUNCTION("IF(B260="""","" "",IMPORTRANGE(B260,""'export'!h3""))")," ")</f>
        <v> </v>
      </c>
      <c r="N260" s="27" t="str">
        <f>IFERROR(__xludf.DUMMYFUNCTION("IF(B260="""","" "",IMPORTRANGE(B260,""'export'!h1""))")," ")</f>
        <v> </v>
      </c>
      <c r="O260" s="28" t="str">
        <f>IFERROR(__xludf.DUMMYFUNCTION("IF(B260="""","" "",IMPORTRANGE(B260,""'export'!h11""))")," ")</f>
        <v> </v>
      </c>
      <c r="P260" s="29" t="str">
        <f>IFERROR(__xludf.DUMMYFUNCTION("IF(B260="""","" "",IMPORTRANGE(B260,""'export'!i1""))")," ")</f>
        <v> </v>
      </c>
      <c r="Q260" s="30" t="str">
        <f>IFERROR(__xludf.DUMMYFUNCTION("IF(B260="""","" "",IMPORTRANGE(B260,""'export'!i13""))")," ")</f>
        <v> </v>
      </c>
      <c r="R260" s="31" t="str">
        <f t="shared" si="2"/>
        <v/>
      </c>
      <c r="S260" s="32" t="str">
        <f>IFERROR(__xludf.DUMMYFUNCTION("IF(B260="""","" "",IMPORTRANGE(B260,""'export'!g1""))")," ")</f>
        <v> </v>
      </c>
    </row>
    <row r="261">
      <c r="A261" s="18"/>
      <c r="B261" s="35"/>
      <c r="C261" s="20" t="str">
        <f>IFERROR(__xludf.DUMMYFUNCTION("IF(B261="""","" "",IMPORTRANGE(B261,""'Export'!m1""))")," ")</f>
        <v> </v>
      </c>
      <c r="D261" s="21" t="str">
        <f t="shared" si="1"/>
        <v> ,  ,  </v>
      </c>
      <c r="E261" s="22" t="str">
        <f>IFERROR(__xludf.DUMMYFUNCTION("IF(B261="""","" "",IMPORTRANGE(B261,""'EXPORT'!L1""))")," ")</f>
        <v> </v>
      </c>
      <c r="F261" s="23" t="str">
        <f>IFERROR(__xludf.DUMMYFUNCTION("IF(B261="""","" "",IMPORTRANGE(B261,""'Export'!a1""))")," ")</f>
        <v> </v>
      </c>
      <c r="G261" s="23" t="str">
        <f>IFERROR(__xludf.DUMMYFUNCTION("IF(B261="""","" "",IMPORTRANGE(B261,""'export'!b1""))")," ")</f>
        <v> </v>
      </c>
      <c r="H261" s="23" t="str">
        <f>IFERROR(__xludf.DUMMYFUNCTION("IF(B261="""","" "",IMPORTRANGE(B261,""'export'!c1""))")," ")</f>
        <v> </v>
      </c>
      <c r="I261" s="24" t="str">
        <f>IFERROR(__xludf.DUMMYFUNCTION("IF(B261="""","" "",IMPORTRANGE(B261,""'export'!d1""))")," ")</f>
        <v> </v>
      </c>
      <c r="J261" s="25" t="str">
        <f>IFERROR(__xludf.DUMMYFUNCTION("IF(B261="""","" "",IMPORTRANGE(B261,""'export'!e1""))")," ")</f>
        <v> </v>
      </c>
      <c r="K261" s="25"/>
      <c r="L261" s="21" t="str">
        <f>IFERROR(__xludf.DUMMYFUNCTION("IF(B261="""","" "",IMPORTRANGE(B261,""'export'!f1""))")," ")</f>
        <v> </v>
      </c>
      <c r="M261" s="26" t="str">
        <f>IFERROR(__xludf.DUMMYFUNCTION("IF(B261="""","" "",IMPORTRANGE(B261,""'export'!h3""))")," ")</f>
        <v> </v>
      </c>
      <c r="N261" s="27" t="str">
        <f>IFERROR(__xludf.DUMMYFUNCTION("IF(B261="""","" "",IMPORTRANGE(B261,""'export'!h1""))")," ")</f>
        <v> </v>
      </c>
      <c r="O261" s="28" t="str">
        <f>IFERROR(__xludf.DUMMYFUNCTION("IF(B261="""","" "",IMPORTRANGE(B261,""'export'!h11""))")," ")</f>
        <v> </v>
      </c>
      <c r="P261" s="29" t="str">
        <f>IFERROR(__xludf.DUMMYFUNCTION("IF(B261="""","" "",IMPORTRANGE(B261,""'export'!i1""))")," ")</f>
        <v> </v>
      </c>
      <c r="Q261" s="30" t="str">
        <f>IFERROR(__xludf.DUMMYFUNCTION("IF(B261="""","" "",IMPORTRANGE(B261,""'export'!i13""))")," ")</f>
        <v> </v>
      </c>
      <c r="R261" s="31" t="str">
        <f t="shared" si="2"/>
        <v/>
      </c>
      <c r="S261" s="32" t="str">
        <f>IFERROR(__xludf.DUMMYFUNCTION("IF(B261="""","" "",IMPORTRANGE(B261,""'export'!g1""))")," ")</f>
        <v> </v>
      </c>
    </row>
    <row r="262">
      <c r="A262" s="18"/>
      <c r="B262" s="35"/>
      <c r="C262" s="20" t="str">
        <f>IFERROR(__xludf.DUMMYFUNCTION("IF(B262="""","" "",IMPORTRANGE(B262,""'Export'!m1""))")," ")</f>
        <v> </v>
      </c>
      <c r="D262" s="21" t="str">
        <f t="shared" si="1"/>
        <v> ,  ,  </v>
      </c>
      <c r="E262" s="22" t="str">
        <f>IFERROR(__xludf.DUMMYFUNCTION("IF(B262="""","" "",IMPORTRANGE(B262,""'EXPORT'!L1""))")," ")</f>
        <v> </v>
      </c>
      <c r="F262" s="23" t="str">
        <f>IFERROR(__xludf.DUMMYFUNCTION("IF(B262="""","" "",IMPORTRANGE(B262,""'Export'!a1""))")," ")</f>
        <v> </v>
      </c>
      <c r="G262" s="23" t="str">
        <f>IFERROR(__xludf.DUMMYFUNCTION("IF(B262="""","" "",IMPORTRANGE(B262,""'export'!b1""))")," ")</f>
        <v> </v>
      </c>
      <c r="H262" s="23" t="str">
        <f>IFERROR(__xludf.DUMMYFUNCTION("IF(B262="""","" "",IMPORTRANGE(B262,""'export'!c1""))")," ")</f>
        <v> </v>
      </c>
      <c r="I262" s="24" t="str">
        <f>IFERROR(__xludf.DUMMYFUNCTION("IF(B262="""","" "",IMPORTRANGE(B262,""'export'!d1""))")," ")</f>
        <v> </v>
      </c>
      <c r="J262" s="25" t="str">
        <f>IFERROR(__xludf.DUMMYFUNCTION("IF(B262="""","" "",IMPORTRANGE(B262,""'export'!e1""))")," ")</f>
        <v> </v>
      </c>
      <c r="K262" s="25"/>
      <c r="L262" s="21" t="str">
        <f>IFERROR(__xludf.DUMMYFUNCTION("IF(B262="""","" "",IMPORTRANGE(B262,""'export'!f1""))")," ")</f>
        <v> </v>
      </c>
      <c r="M262" s="26" t="str">
        <f>IFERROR(__xludf.DUMMYFUNCTION("IF(B262="""","" "",IMPORTRANGE(B262,""'export'!h3""))")," ")</f>
        <v> </v>
      </c>
      <c r="N262" s="27" t="str">
        <f>IFERROR(__xludf.DUMMYFUNCTION("IF(B262="""","" "",IMPORTRANGE(B262,""'export'!h1""))")," ")</f>
        <v> </v>
      </c>
      <c r="O262" s="28" t="str">
        <f>IFERROR(__xludf.DUMMYFUNCTION("IF(B262="""","" "",IMPORTRANGE(B262,""'export'!h11""))")," ")</f>
        <v> </v>
      </c>
      <c r="P262" s="29" t="str">
        <f>IFERROR(__xludf.DUMMYFUNCTION("IF(B262="""","" "",IMPORTRANGE(B262,""'export'!i1""))")," ")</f>
        <v> </v>
      </c>
      <c r="Q262" s="30" t="str">
        <f>IFERROR(__xludf.DUMMYFUNCTION("IF(B262="""","" "",IMPORTRANGE(B262,""'export'!i13""))")," ")</f>
        <v> </v>
      </c>
      <c r="R262" s="31" t="str">
        <f t="shared" si="2"/>
        <v/>
      </c>
      <c r="S262" s="32" t="str">
        <f>IFERROR(__xludf.DUMMYFUNCTION("IF(B262="""","" "",IMPORTRANGE(B262,""'export'!g1""))")," ")</f>
        <v> </v>
      </c>
    </row>
    <row r="263">
      <c r="A263" s="18"/>
      <c r="B263" s="35"/>
      <c r="C263" s="20" t="str">
        <f>IFERROR(__xludf.DUMMYFUNCTION("IF(B263="""","" "",IMPORTRANGE(B263,""'Export'!m1""))")," ")</f>
        <v> </v>
      </c>
      <c r="D263" s="21" t="str">
        <f t="shared" si="1"/>
        <v> ,  ,  </v>
      </c>
      <c r="E263" s="22" t="str">
        <f>IFERROR(__xludf.DUMMYFUNCTION("IF(B263="""","" "",IMPORTRANGE(B263,""'EXPORT'!L1""))")," ")</f>
        <v> </v>
      </c>
      <c r="F263" s="23" t="str">
        <f>IFERROR(__xludf.DUMMYFUNCTION("IF(B263="""","" "",IMPORTRANGE(B263,""'Export'!a1""))")," ")</f>
        <v> </v>
      </c>
      <c r="G263" s="23" t="str">
        <f>IFERROR(__xludf.DUMMYFUNCTION("IF(B263="""","" "",IMPORTRANGE(B263,""'export'!b1""))")," ")</f>
        <v> </v>
      </c>
      <c r="H263" s="23" t="str">
        <f>IFERROR(__xludf.DUMMYFUNCTION("IF(B263="""","" "",IMPORTRANGE(B263,""'export'!c1""))")," ")</f>
        <v> </v>
      </c>
      <c r="I263" s="24" t="str">
        <f>IFERROR(__xludf.DUMMYFUNCTION("IF(B263="""","" "",IMPORTRANGE(B263,""'export'!d1""))")," ")</f>
        <v> </v>
      </c>
      <c r="J263" s="25" t="str">
        <f>IFERROR(__xludf.DUMMYFUNCTION("IF(B263="""","" "",IMPORTRANGE(B263,""'export'!e1""))")," ")</f>
        <v> </v>
      </c>
      <c r="K263" s="25"/>
      <c r="L263" s="21" t="str">
        <f>IFERROR(__xludf.DUMMYFUNCTION("IF(B263="""","" "",IMPORTRANGE(B263,""'export'!f1""))")," ")</f>
        <v> </v>
      </c>
      <c r="M263" s="26" t="str">
        <f>IFERROR(__xludf.DUMMYFUNCTION("IF(B263="""","" "",IMPORTRANGE(B263,""'export'!h3""))")," ")</f>
        <v> </v>
      </c>
      <c r="N263" s="27" t="str">
        <f>IFERROR(__xludf.DUMMYFUNCTION("IF(B263="""","" "",IMPORTRANGE(B263,""'export'!h1""))")," ")</f>
        <v> </v>
      </c>
      <c r="O263" s="28" t="str">
        <f>IFERROR(__xludf.DUMMYFUNCTION("IF(B263="""","" "",IMPORTRANGE(B263,""'export'!h11""))")," ")</f>
        <v> </v>
      </c>
      <c r="P263" s="29" t="str">
        <f>IFERROR(__xludf.DUMMYFUNCTION("IF(B263="""","" "",IMPORTRANGE(B263,""'export'!i1""))")," ")</f>
        <v> </v>
      </c>
      <c r="Q263" s="30" t="str">
        <f>IFERROR(__xludf.DUMMYFUNCTION("IF(B263="""","" "",IMPORTRANGE(B263,""'export'!i13""))")," ")</f>
        <v> </v>
      </c>
      <c r="R263" s="31" t="str">
        <f t="shared" si="2"/>
        <v/>
      </c>
      <c r="S263" s="32" t="str">
        <f>IFERROR(__xludf.DUMMYFUNCTION("IF(B263="""","" "",IMPORTRANGE(B263,""'export'!g1""))")," ")</f>
        <v> </v>
      </c>
    </row>
    <row r="264">
      <c r="A264" s="18"/>
      <c r="B264" s="35"/>
      <c r="C264" s="20" t="str">
        <f>IFERROR(__xludf.DUMMYFUNCTION("IF(B264="""","" "",IMPORTRANGE(B264,""'Export'!m1""))")," ")</f>
        <v> </v>
      </c>
      <c r="D264" s="21" t="str">
        <f t="shared" si="1"/>
        <v> ,  ,  </v>
      </c>
      <c r="E264" s="22" t="str">
        <f>IFERROR(__xludf.DUMMYFUNCTION("IF(B264="""","" "",IMPORTRANGE(B264,""'EXPORT'!L1""))")," ")</f>
        <v> </v>
      </c>
      <c r="F264" s="23" t="str">
        <f>IFERROR(__xludf.DUMMYFUNCTION("IF(B264="""","" "",IMPORTRANGE(B264,""'Export'!a1""))")," ")</f>
        <v> </v>
      </c>
      <c r="G264" s="23" t="str">
        <f>IFERROR(__xludf.DUMMYFUNCTION("IF(B264="""","" "",IMPORTRANGE(B264,""'export'!b1""))")," ")</f>
        <v> </v>
      </c>
      <c r="H264" s="23" t="str">
        <f>IFERROR(__xludf.DUMMYFUNCTION("IF(B264="""","" "",IMPORTRANGE(B264,""'export'!c1""))")," ")</f>
        <v> </v>
      </c>
      <c r="I264" s="24" t="str">
        <f>IFERROR(__xludf.DUMMYFUNCTION("IF(B264="""","" "",IMPORTRANGE(B264,""'export'!d1""))")," ")</f>
        <v> </v>
      </c>
      <c r="J264" s="25" t="str">
        <f>IFERROR(__xludf.DUMMYFUNCTION("IF(B264="""","" "",IMPORTRANGE(B264,""'export'!e1""))")," ")</f>
        <v> </v>
      </c>
      <c r="K264" s="25"/>
      <c r="L264" s="21" t="str">
        <f>IFERROR(__xludf.DUMMYFUNCTION("IF(B264="""","" "",IMPORTRANGE(B264,""'export'!f1""))")," ")</f>
        <v> </v>
      </c>
      <c r="M264" s="26" t="str">
        <f>IFERROR(__xludf.DUMMYFUNCTION("IF(B264="""","" "",IMPORTRANGE(B264,""'export'!h3""))")," ")</f>
        <v> </v>
      </c>
      <c r="N264" s="27" t="str">
        <f>IFERROR(__xludf.DUMMYFUNCTION("IF(B264="""","" "",IMPORTRANGE(B264,""'export'!h1""))")," ")</f>
        <v> </v>
      </c>
      <c r="O264" s="28" t="str">
        <f>IFERROR(__xludf.DUMMYFUNCTION("IF(B264="""","" "",IMPORTRANGE(B264,""'export'!h11""))")," ")</f>
        <v> </v>
      </c>
      <c r="P264" s="29" t="str">
        <f>IFERROR(__xludf.DUMMYFUNCTION("IF(B264="""","" "",IMPORTRANGE(B264,""'export'!i1""))")," ")</f>
        <v> </v>
      </c>
      <c r="Q264" s="30" t="str">
        <f>IFERROR(__xludf.DUMMYFUNCTION("IF(B264="""","" "",IMPORTRANGE(B264,""'export'!i13""))")," ")</f>
        <v> </v>
      </c>
      <c r="R264" s="31" t="str">
        <f t="shared" si="2"/>
        <v/>
      </c>
      <c r="S264" s="32" t="str">
        <f>IFERROR(__xludf.DUMMYFUNCTION("IF(B264="""","" "",IMPORTRANGE(B264,""'export'!g1""))")," ")</f>
        <v> </v>
      </c>
    </row>
    <row r="265">
      <c r="A265" s="18"/>
      <c r="B265" s="35"/>
      <c r="C265" s="20" t="str">
        <f>IFERROR(__xludf.DUMMYFUNCTION("IF(B265="""","" "",IMPORTRANGE(B265,""'Export'!m1""))")," ")</f>
        <v> </v>
      </c>
      <c r="D265" s="21" t="str">
        <f t="shared" si="1"/>
        <v> ,  ,  </v>
      </c>
      <c r="E265" s="22" t="str">
        <f>IFERROR(__xludf.DUMMYFUNCTION("IF(B265="""","" "",IMPORTRANGE(B265,""'EXPORT'!L1""))")," ")</f>
        <v> </v>
      </c>
      <c r="F265" s="23" t="str">
        <f>IFERROR(__xludf.DUMMYFUNCTION("IF(B265="""","" "",IMPORTRANGE(B265,""'Export'!a1""))")," ")</f>
        <v> </v>
      </c>
      <c r="G265" s="23" t="str">
        <f>IFERROR(__xludf.DUMMYFUNCTION("IF(B265="""","" "",IMPORTRANGE(B265,""'export'!b1""))")," ")</f>
        <v> </v>
      </c>
      <c r="H265" s="23" t="str">
        <f>IFERROR(__xludf.DUMMYFUNCTION("IF(B265="""","" "",IMPORTRANGE(B265,""'export'!c1""))")," ")</f>
        <v> </v>
      </c>
      <c r="I265" s="24" t="str">
        <f>IFERROR(__xludf.DUMMYFUNCTION("IF(B265="""","" "",IMPORTRANGE(B265,""'export'!d1""))")," ")</f>
        <v> </v>
      </c>
      <c r="J265" s="25" t="str">
        <f>IFERROR(__xludf.DUMMYFUNCTION("IF(B265="""","" "",IMPORTRANGE(B265,""'export'!e1""))")," ")</f>
        <v> </v>
      </c>
      <c r="K265" s="25"/>
      <c r="L265" s="21" t="str">
        <f>IFERROR(__xludf.DUMMYFUNCTION("IF(B265="""","" "",IMPORTRANGE(B265,""'export'!f1""))")," ")</f>
        <v> </v>
      </c>
      <c r="M265" s="26" t="str">
        <f>IFERROR(__xludf.DUMMYFUNCTION("IF(B265="""","" "",IMPORTRANGE(B265,""'export'!h3""))")," ")</f>
        <v> </v>
      </c>
      <c r="N265" s="27" t="str">
        <f>IFERROR(__xludf.DUMMYFUNCTION("IF(B265="""","" "",IMPORTRANGE(B265,""'export'!h1""))")," ")</f>
        <v> </v>
      </c>
      <c r="O265" s="28" t="str">
        <f>IFERROR(__xludf.DUMMYFUNCTION("IF(B265="""","" "",IMPORTRANGE(B265,""'export'!h11""))")," ")</f>
        <v> </v>
      </c>
      <c r="P265" s="29" t="str">
        <f>IFERROR(__xludf.DUMMYFUNCTION("IF(B265="""","" "",IMPORTRANGE(B265,""'export'!i1""))")," ")</f>
        <v> </v>
      </c>
      <c r="Q265" s="30" t="str">
        <f>IFERROR(__xludf.DUMMYFUNCTION("IF(B265="""","" "",IMPORTRANGE(B265,""'export'!i13""))")," ")</f>
        <v> </v>
      </c>
      <c r="R265" s="31" t="str">
        <f t="shared" si="2"/>
        <v/>
      </c>
      <c r="S265" s="32" t="str">
        <f>IFERROR(__xludf.DUMMYFUNCTION("IF(B265="""","" "",IMPORTRANGE(B265,""'export'!g1""))")," ")</f>
        <v> </v>
      </c>
    </row>
    <row r="266">
      <c r="A266" s="18"/>
      <c r="B266" s="35"/>
      <c r="C266" s="20" t="str">
        <f>IFERROR(__xludf.DUMMYFUNCTION("IF(B266="""","" "",IMPORTRANGE(B266,""'Export'!m1""))")," ")</f>
        <v> </v>
      </c>
      <c r="D266" s="21" t="str">
        <f t="shared" si="1"/>
        <v> ,  ,  </v>
      </c>
      <c r="E266" s="22" t="str">
        <f>IFERROR(__xludf.DUMMYFUNCTION("IF(B266="""","" "",IMPORTRANGE(B266,""'EXPORT'!L1""))")," ")</f>
        <v> </v>
      </c>
      <c r="F266" s="23" t="str">
        <f>IFERROR(__xludf.DUMMYFUNCTION("IF(B266="""","" "",IMPORTRANGE(B266,""'Export'!a1""))")," ")</f>
        <v> </v>
      </c>
      <c r="G266" s="23" t="str">
        <f>IFERROR(__xludf.DUMMYFUNCTION("IF(B266="""","" "",IMPORTRANGE(B266,""'export'!b1""))")," ")</f>
        <v> </v>
      </c>
      <c r="H266" s="23" t="str">
        <f>IFERROR(__xludf.DUMMYFUNCTION("IF(B266="""","" "",IMPORTRANGE(B266,""'export'!c1""))")," ")</f>
        <v> </v>
      </c>
      <c r="I266" s="24" t="str">
        <f>IFERROR(__xludf.DUMMYFUNCTION("IF(B266="""","" "",IMPORTRANGE(B266,""'export'!d1""))")," ")</f>
        <v> </v>
      </c>
      <c r="J266" s="25" t="str">
        <f>IFERROR(__xludf.DUMMYFUNCTION("IF(B266="""","" "",IMPORTRANGE(B266,""'export'!e1""))")," ")</f>
        <v> </v>
      </c>
      <c r="K266" s="25"/>
      <c r="L266" s="21" t="str">
        <f>IFERROR(__xludf.DUMMYFUNCTION("IF(B266="""","" "",IMPORTRANGE(B266,""'export'!f1""))")," ")</f>
        <v> </v>
      </c>
      <c r="M266" s="26" t="str">
        <f>IFERROR(__xludf.DUMMYFUNCTION("IF(B266="""","" "",IMPORTRANGE(B266,""'export'!h3""))")," ")</f>
        <v> </v>
      </c>
      <c r="N266" s="27" t="str">
        <f>IFERROR(__xludf.DUMMYFUNCTION("IF(B266="""","" "",IMPORTRANGE(B266,""'export'!h1""))")," ")</f>
        <v> </v>
      </c>
      <c r="O266" s="28" t="str">
        <f>IFERROR(__xludf.DUMMYFUNCTION("IF(B266="""","" "",IMPORTRANGE(B266,""'export'!h11""))")," ")</f>
        <v> </v>
      </c>
      <c r="P266" s="29" t="str">
        <f>IFERROR(__xludf.DUMMYFUNCTION("IF(B266="""","" "",IMPORTRANGE(B266,""'export'!i1""))")," ")</f>
        <v> </v>
      </c>
      <c r="Q266" s="30" t="str">
        <f>IFERROR(__xludf.DUMMYFUNCTION("IF(B266="""","" "",IMPORTRANGE(B266,""'export'!i13""))")," ")</f>
        <v> </v>
      </c>
      <c r="R266" s="31" t="str">
        <f t="shared" si="2"/>
        <v/>
      </c>
      <c r="S266" s="32" t="str">
        <f>IFERROR(__xludf.DUMMYFUNCTION("IF(B266="""","" "",IMPORTRANGE(B266,""'export'!g1""))")," ")</f>
        <v> </v>
      </c>
    </row>
    <row r="267">
      <c r="A267" s="18"/>
      <c r="B267" s="35"/>
      <c r="C267" s="20" t="str">
        <f>IFERROR(__xludf.DUMMYFUNCTION("IF(B267="""","" "",IMPORTRANGE(B267,""'Export'!m1""))")," ")</f>
        <v> </v>
      </c>
      <c r="D267" s="21" t="str">
        <f t="shared" si="1"/>
        <v> ,  ,  </v>
      </c>
      <c r="E267" s="22" t="str">
        <f>IFERROR(__xludf.DUMMYFUNCTION("IF(B267="""","" "",IMPORTRANGE(B267,""'EXPORT'!L1""))")," ")</f>
        <v> </v>
      </c>
      <c r="F267" s="23" t="str">
        <f>IFERROR(__xludf.DUMMYFUNCTION("IF(B267="""","" "",IMPORTRANGE(B267,""'Export'!a1""))")," ")</f>
        <v> </v>
      </c>
      <c r="G267" s="23" t="str">
        <f>IFERROR(__xludf.DUMMYFUNCTION("IF(B267="""","" "",IMPORTRANGE(B267,""'export'!b1""))")," ")</f>
        <v> </v>
      </c>
      <c r="H267" s="23" t="str">
        <f>IFERROR(__xludf.DUMMYFUNCTION("IF(B267="""","" "",IMPORTRANGE(B267,""'export'!c1""))")," ")</f>
        <v> </v>
      </c>
      <c r="I267" s="24" t="str">
        <f>IFERROR(__xludf.DUMMYFUNCTION("IF(B267="""","" "",IMPORTRANGE(B267,""'export'!d1""))")," ")</f>
        <v> </v>
      </c>
      <c r="J267" s="25" t="str">
        <f>IFERROR(__xludf.DUMMYFUNCTION("IF(B267="""","" "",IMPORTRANGE(B267,""'export'!e1""))")," ")</f>
        <v> </v>
      </c>
      <c r="K267" s="25"/>
      <c r="L267" s="21" t="str">
        <f>IFERROR(__xludf.DUMMYFUNCTION("IF(B267="""","" "",IMPORTRANGE(B267,""'export'!f1""))")," ")</f>
        <v> </v>
      </c>
      <c r="M267" s="26" t="str">
        <f>IFERROR(__xludf.DUMMYFUNCTION("IF(B267="""","" "",IMPORTRANGE(B267,""'export'!h3""))")," ")</f>
        <v> </v>
      </c>
      <c r="N267" s="27" t="str">
        <f>IFERROR(__xludf.DUMMYFUNCTION("IF(B267="""","" "",IMPORTRANGE(B267,""'export'!h1""))")," ")</f>
        <v> </v>
      </c>
      <c r="O267" s="28" t="str">
        <f>IFERROR(__xludf.DUMMYFUNCTION("IF(B267="""","" "",IMPORTRANGE(B267,""'export'!h11""))")," ")</f>
        <v> </v>
      </c>
      <c r="P267" s="29" t="str">
        <f>IFERROR(__xludf.DUMMYFUNCTION("IF(B267="""","" "",IMPORTRANGE(B267,""'export'!i1""))")," ")</f>
        <v> </v>
      </c>
      <c r="Q267" s="30" t="str">
        <f>IFERROR(__xludf.DUMMYFUNCTION("IF(B267="""","" "",IMPORTRANGE(B267,""'export'!i13""))")," ")</f>
        <v> </v>
      </c>
      <c r="R267" s="31" t="str">
        <f t="shared" si="2"/>
        <v/>
      </c>
      <c r="S267" s="32" t="str">
        <f>IFERROR(__xludf.DUMMYFUNCTION("IF(B267="""","" "",IMPORTRANGE(B267,""'export'!g1""))")," ")</f>
        <v> </v>
      </c>
    </row>
    <row r="268">
      <c r="A268" s="18"/>
      <c r="B268" s="35"/>
      <c r="C268" s="20" t="str">
        <f>IFERROR(__xludf.DUMMYFUNCTION("IF(B268="""","" "",IMPORTRANGE(B268,""'Export'!m1""))")," ")</f>
        <v> </v>
      </c>
      <c r="D268" s="21" t="str">
        <f t="shared" si="1"/>
        <v> ,  ,  </v>
      </c>
      <c r="E268" s="22" t="str">
        <f>IFERROR(__xludf.DUMMYFUNCTION("IF(B268="""","" "",IMPORTRANGE(B268,""'EXPORT'!L1""))")," ")</f>
        <v> </v>
      </c>
      <c r="F268" s="23" t="str">
        <f>IFERROR(__xludf.DUMMYFUNCTION("IF(B268="""","" "",IMPORTRANGE(B268,""'Export'!a1""))")," ")</f>
        <v> </v>
      </c>
      <c r="G268" s="23" t="str">
        <f>IFERROR(__xludf.DUMMYFUNCTION("IF(B268="""","" "",IMPORTRANGE(B268,""'export'!b1""))")," ")</f>
        <v> </v>
      </c>
      <c r="H268" s="23" t="str">
        <f>IFERROR(__xludf.DUMMYFUNCTION("IF(B268="""","" "",IMPORTRANGE(B268,""'export'!c1""))")," ")</f>
        <v> </v>
      </c>
      <c r="I268" s="24" t="str">
        <f>IFERROR(__xludf.DUMMYFUNCTION("IF(B268="""","" "",IMPORTRANGE(B268,""'export'!d1""))")," ")</f>
        <v> </v>
      </c>
      <c r="J268" s="25" t="str">
        <f>IFERROR(__xludf.DUMMYFUNCTION("IF(B268="""","" "",IMPORTRANGE(B268,""'export'!e1""))")," ")</f>
        <v> </v>
      </c>
      <c r="K268" s="25"/>
      <c r="L268" s="21" t="str">
        <f>IFERROR(__xludf.DUMMYFUNCTION("IF(B268="""","" "",IMPORTRANGE(B268,""'export'!f1""))")," ")</f>
        <v> </v>
      </c>
      <c r="M268" s="26" t="str">
        <f>IFERROR(__xludf.DUMMYFUNCTION("IF(B268="""","" "",IMPORTRANGE(B268,""'export'!h3""))")," ")</f>
        <v> </v>
      </c>
      <c r="N268" s="27" t="str">
        <f>IFERROR(__xludf.DUMMYFUNCTION("IF(B268="""","" "",IMPORTRANGE(B268,""'export'!h1""))")," ")</f>
        <v> </v>
      </c>
      <c r="O268" s="28" t="str">
        <f>IFERROR(__xludf.DUMMYFUNCTION("IF(B268="""","" "",IMPORTRANGE(B268,""'export'!h11""))")," ")</f>
        <v> </v>
      </c>
      <c r="P268" s="29" t="str">
        <f>IFERROR(__xludf.DUMMYFUNCTION("IF(B268="""","" "",IMPORTRANGE(B268,""'export'!i1""))")," ")</f>
        <v> </v>
      </c>
      <c r="Q268" s="30" t="str">
        <f>IFERROR(__xludf.DUMMYFUNCTION("IF(B268="""","" "",IMPORTRANGE(B268,""'export'!i13""))")," ")</f>
        <v> </v>
      </c>
      <c r="R268" s="31" t="str">
        <f t="shared" si="2"/>
        <v/>
      </c>
      <c r="S268" s="32" t="str">
        <f>IFERROR(__xludf.DUMMYFUNCTION("IF(B268="""","" "",IMPORTRANGE(B268,""'export'!g1""))")," ")</f>
        <v> </v>
      </c>
    </row>
    <row r="269">
      <c r="A269" s="18"/>
      <c r="B269" s="35"/>
      <c r="C269" s="20" t="str">
        <f>IFERROR(__xludf.DUMMYFUNCTION("IF(B269="""","" "",IMPORTRANGE(B269,""'Export'!m1""))")," ")</f>
        <v> </v>
      </c>
      <c r="D269" s="21" t="str">
        <f t="shared" si="1"/>
        <v> ,  ,  </v>
      </c>
      <c r="E269" s="22" t="str">
        <f>IFERROR(__xludf.DUMMYFUNCTION("IF(B269="""","" "",IMPORTRANGE(B269,""'EXPORT'!L1""))")," ")</f>
        <v> </v>
      </c>
      <c r="F269" s="23" t="str">
        <f>IFERROR(__xludf.DUMMYFUNCTION("IF(B269="""","" "",IMPORTRANGE(B269,""'Export'!a1""))")," ")</f>
        <v> </v>
      </c>
      <c r="G269" s="23" t="str">
        <f>IFERROR(__xludf.DUMMYFUNCTION("IF(B269="""","" "",IMPORTRANGE(B269,""'export'!b1""))")," ")</f>
        <v> </v>
      </c>
      <c r="H269" s="23" t="str">
        <f>IFERROR(__xludf.DUMMYFUNCTION("IF(B269="""","" "",IMPORTRANGE(B269,""'export'!c1""))")," ")</f>
        <v> </v>
      </c>
      <c r="I269" s="24" t="str">
        <f>IFERROR(__xludf.DUMMYFUNCTION("IF(B269="""","" "",IMPORTRANGE(B269,""'export'!d1""))")," ")</f>
        <v> </v>
      </c>
      <c r="J269" s="25" t="str">
        <f>IFERROR(__xludf.DUMMYFUNCTION("IF(B269="""","" "",IMPORTRANGE(B269,""'export'!e1""))")," ")</f>
        <v> </v>
      </c>
      <c r="K269" s="25"/>
      <c r="L269" s="21" t="str">
        <f>IFERROR(__xludf.DUMMYFUNCTION("IF(B269="""","" "",IMPORTRANGE(B269,""'export'!f1""))")," ")</f>
        <v> </v>
      </c>
      <c r="M269" s="26" t="str">
        <f>IFERROR(__xludf.DUMMYFUNCTION("IF(B269="""","" "",IMPORTRANGE(B269,""'export'!h3""))")," ")</f>
        <v> </v>
      </c>
      <c r="N269" s="27" t="str">
        <f>IFERROR(__xludf.DUMMYFUNCTION("IF(B269="""","" "",IMPORTRANGE(B269,""'export'!h1""))")," ")</f>
        <v> </v>
      </c>
      <c r="O269" s="28" t="str">
        <f>IFERROR(__xludf.DUMMYFUNCTION("IF(B269="""","" "",IMPORTRANGE(B269,""'export'!h11""))")," ")</f>
        <v> </v>
      </c>
      <c r="P269" s="29" t="str">
        <f>IFERROR(__xludf.DUMMYFUNCTION("IF(B269="""","" "",IMPORTRANGE(B269,""'export'!i1""))")," ")</f>
        <v> </v>
      </c>
      <c r="Q269" s="30" t="str">
        <f>IFERROR(__xludf.DUMMYFUNCTION("IF(B269="""","" "",IMPORTRANGE(B269,""'export'!i13""))")," ")</f>
        <v> </v>
      </c>
      <c r="R269" s="31" t="str">
        <f t="shared" si="2"/>
        <v/>
      </c>
      <c r="S269" s="32" t="str">
        <f>IFERROR(__xludf.DUMMYFUNCTION("IF(B269="""","" "",IMPORTRANGE(B269,""'export'!g1""))")," ")</f>
        <v> </v>
      </c>
    </row>
    <row r="270">
      <c r="A270" s="18"/>
      <c r="B270" s="35"/>
      <c r="C270" s="20" t="str">
        <f>IFERROR(__xludf.DUMMYFUNCTION("IF(B270="""","" "",IMPORTRANGE(B270,""'Export'!m1""))")," ")</f>
        <v> </v>
      </c>
      <c r="D270" s="21" t="str">
        <f t="shared" si="1"/>
        <v> ,  ,  </v>
      </c>
      <c r="E270" s="22" t="str">
        <f>IFERROR(__xludf.DUMMYFUNCTION("IF(B270="""","" "",IMPORTRANGE(B270,""'EXPORT'!L1""))")," ")</f>
        <v> </v>
      </c>
      <c r="F270" s="23" t="str">
        <f>IFERROR(__xludf.DUMMYFUNCTION("IF(B270="""","" "",IMPORTRANGE(B270,""'Export'!a1""))")," ")</f>
        <v> </v>
      </c>
      <c r="G270" s="23" t="str">
        <f>IFERROR(__xludf.DUMMYFUNCTION("IF(B270="""","" "",IMPORTRANGE(B270,""'export'!b1""))")," ")</f>
        <v> </v>
      </c>
      <c r="H270" s="23" t="str">
        <f>IFERROR(__xludf.DUMMYFUNCTION("IF(B270="""","" "",IMPORTRANGE(B270,""'export'!c1""))")," ")</f>
        <v> </v>
      </c>
      <c r="I270" s="24" t="str">
        <f>IFERROR(__xludf.DUMMYFUNCTION("IF(B270="""","" "",IMPORTRANGE(B270,""'export'!d1""))")," ")</f>
        <v> </v>
      </c>
      <c r="J270" s="25" t="str">
        <f>IFERROR(__xludf.DUMMYFUNCTION("IF(B270="""","" "",IMPORTRANGE(B270,""'export'!e1""))")," ")</f>
        <v> </v>
      </c>
      <c r="K270" s="25"/>
      <c r="L270" s="21" t="str">
        <f>IFERROR(__xludf.DUMMYFUNCTION("IF(B270="""","" "",IMPORTRANGE(B270,""'export'!f1""))")," ")</f>
        <v> </v>
      </c>
      <c r="M270" s="26" t="str">
        <f>IFERROR(__xludf.DUMMYFUNCTION("IF(B270="""","" "",IMPORTRANGE(B270,""'export'!h3""))")," ")</f>
        <v> </v>
      </c>
      <c r="N270" s="27" t="str">
        <f>IFERROR(__xludf.DUMMYFUNCTION("IF(B270="""","" "",IMPORTRANGE(B270,""'export'!h1""))")," ")</f>
        <v> </v>
      </c>
      <c r="O270" s="28" t="str">
        <f>IFERROR(__xludf.DUMMYFUNCTION("IF(B270="""","" "",IMPORTRANGE(B270,""'export'!h11""))")," ")</f>
        <v> </v>
      </c>
      <c r="P270" s="29" t="str">
        <f>IFERROR(__xludf.DUMMYFUNCTION("IF(B270="""","" "",IMPORTRANGE(B270,""'export'!i1""))")," ")</f>
        <v> </v>
      </c>
      <c r="Q270" s="30" t="str">
        <f>IFERROR(__xludf.DUMMYFUNCTION("IF(B270="""","" "",IMPORTRANGE(B270,""'export'!i13""))")," ")</f>
        <v> </v>
      </c>
      <c r="R270" s="31" t="str">
        <f t="shared" si="2"/>
        <v/>
      </c>
      <c r="S270" s="32" t="str">
        <f>IFERROR(__xludf.DUMMYFUNCTION("IF(B270="""","" "",IMPORTRANGE(B270,""'export'!g1""))")," ")</f>
        <v> </v>
      </c>
    </row>
    <row r="271">
      <c r="A271" s="18"/>
      <c r="B271" s="35"/>
      <c r="C271" s="20" t="str">
        <f>IFERROR(__xludf.DUMMYFUNCTION("IF(B271="""","" "",IMPORTRANGE(B271,""'Export'!m1""))")," ")</f>
        <v> </v>
      </c>
      <c r="D271" s="21" t="str">
        <f t="shared" si="1"/>
        <v> ,  ,  </v>
      </c>
      <c r="E271" s="22" t="str">
        <f>IFERROR(__xludf.DUMMYFUNCTION("IF(B271="""","" "",IMPORTRANGE(B271,""'EXPORT'!L1""))")," ")</f>
        <v> </v>
      </c>
      <c r="F271" s="23" t="str">
        <f>IFERROR(__xludf.DUMMYFUNCTION("IF(B271="""","" "",IMPORTRANGE(B271,""'Export'!a1""))")," ")</f>
        <v> </v>
      </c>
      <c r="G271" s="23" t="str">
        <f>IFERROR(__xludf.DUMMYFUNCTION("IF(B271="""","" "",IMPORTRANGE(B271,""'export'!b1""))")," ")</f>
        <v> </v>
      </c>
      <c r="H271" s="23" t="str">
        <f>IFERROR(__xludf.DUMMYFUNCTION("IF(B271="""","" "",IMPORTRANGE(B271,""'export'!c1""))")," ")</f>
        <v> </v>
      </c>
      <c r="I271" s="24" t="str">
        <f>IFERROR(__xludf.DUMMYFUNCTION("IF(B271="""","" "",IMPORTRANGE(B271,""'export'!d1""))")," ")</f>
        <v> </v>
      </c>
      <c r="J271" s="25" t="str">
        <f>IFERROR(__xludf.DUMMYFUNCTION("IF(B271="""","" "",IMPORTRANGE(B271,""'export'!e1""))")," ")</f>
        <v> </v>
      </c>
      <c r="K271" s="25"/>
      <c r="L271" s="21" t="str">
        <f>IFERROR(__xludf.DUMMYFUNCTION("IF(B271="""","" "",IMPORTRANGE(B271,""'export'!f1""))")," ")</f>
        <v> </v>
      </c>
      <c r="M271" s="26" t="str">
        <f>IFERROR(__xludf.DUMMYFUNCTION("IF(B271="""","" "",IMPORTRANGE(B271,""'export'!h3""))")," ")</f>
        <v> </v>
      </c>
      <c r="N271" s="27" t="str">
        <f>IFERROR(__xludf.DUMMYFUNCTION("IF(B271="""","" "",IMPORTRANGE(B271,""'export'!h1""))")," ")</f>
        <v> </v>
      </c>
      <c r="O271" s="28" t="str">
        <f>IFERROR(__xludf.DUMMYFUNCTION("IF(B271="""","" "",IMPORTRANGE(B271,""'export'!h11""))")," ")</f>
        <v> </v>
      </c>
      <c r="P271" s="29" t="str">
        <f>IFERROR(__xludf.DUMMYFUNCTION("IF(B271="""","" "",IMPORTRANGE(B271,""'export'!i1""))")," ")</f>
        <v> </v>
      </c>
      <c r="Q271" s="30" t="str">
        <f>IFERROR(__xludf.DUMMYFUNCTION("IF(B271="""","" "",IMPORTRANGE(B271,""'export'!i13""))")," ")</f>
        <v> </v>
      </c>
      <c r="R271" s="31" t="str">
        <f t="shared" si="2"/>
        <v/>
      </c>
      <c r="S271" s="32" t="str">
        <f>IFERROR(__xludf.DUMMYFUNCTION("IF(B271="""","" "",IMPORTRANGE(B271,""'export'!g1""))")," ")</f>
        <v> </v>
      </c>
    </row>
    <row r="272">
      <c r="A272" s="18"/>
      <c r="B272" s="35"/>
      <c r="C272" s="20" t="str">
        <f>IFERROR(__xludf.DUMMYFUNCTION("IF(B272="""","" "",IMPORTRANGE(B272,""'Export'!m1""))")," ")</f>
        <v> </v>
      </c>
      <c r="D272" s="21" t="str">
        <f t="shared" si="1"/>
        <v> ,  ,  </v>
      </c>
      <c r="E272" s="22" t="str">
        <f>IFERROR(__xludf.DUMMYFUNCTION("IF(B272="""","" "",IMPORTRANGE(B272,""'EXPORT'!L1""))")," ")</f>
        <v> </v>
      </c>
      <c r="F272" s="23" t="str">
        <f>IFERROR(__xludf.DUMMYFUNCTION("IF(B272="""","" "",IMPORTRANGE(B272,""'Export'!a1""))")," ")</f>
        <v> </v>
      </c>
      <c r="G272" s="23" t="str">
        <f>IFERROR(__xludf.DUMMYFUNCTION("IF(B272="""","" "",IMPORTRANGE(B272,""'export'!b1""))")," ")</f>
        <v> </v>
      </c>
      <c r="H272" s="23" t="str">
        <f>IFERROR(__xludf.DUMMYFUNCTION("IF(B272="""","" "",IMPORTRANGE(B272,""'export'!c1""))")," ")</f>
        <v> </v>
      </c>
      <c r="I272" s="24" t="str">
        <f>IFERROR(__xludf.DUMMYFUNCTION("IF(B272="""","" "",IMPORTRANGE(B272,""'export'!d1""))")," ")</f>
        <v> </v>
      </c>
      <c r="J272" s="25" t="str">
        <f>IFERROR(__xludf.DUMMYFUNCTION("IF(B272="""","" "",IMPORTRANGE(B272,""'export'!e1""))")," ")</f>
        <v> </v>
      </c>
      <c r="K272" s="25"/>
      <c r="L272" s="21" t="str">
        <f>IFERROR(__xludf.DUMMYFUNCTION("IF(B272="""","" "",IMPORTRANGE(B272,""'export'!f1""))")," ")</f>
        <v> </v>
      </c>
      <c r="M272" s="26" t="str">
        <f>IFERROR(__xludf.DUMMYFUNCTION("IF(B272="""","" "",IMPORTRANGE(B272,""'export'!h3""))")," ")</f>
        <v> </v>
      </c>
      <c r="N272" s="27" t="str">
        <f>IFERROR(__xludf.DUMMYFUNCTION("IF(B272="""","" "",IMPORTRANGE(B272,""'export'!h1""))")," ")</f>
        <v> </v>
      </c>
      <c r="O272" s="28" t="str">
        <f>IFERROR(__xludf.DUMMYFUNCTION("IF(B272="""","" "",IMPORTRANGE(B272,""'export'!h11""))")," ")</f>
        <v> </v>
      </c>
      <c r="P272" s="29" t="str">
        <f>IFERROR(__xludf.DUMMYFUNCTION("IF(B272="""","" "",IMPORTRANGE(B272,""'export'!i1""))")," ")</f>
        <v> </v>
      </c>
      <c r="Q272" s="30" t="str">
        <f>IFERROR(__xludf.DUMMYFUNCTION("IF(B272="""","" "",IMPORTRANGE(B272,""'export'!i13""))")," ")</f>
        <v> </v>
      </c>
      <c r="R272" s="31" t="str">
        <f t="shared" si="2"/>
        <v/>
      </c>
      <c r="S272" s="32" t="str">
        <f>IFERROR(__xludf.DUMMYFUNCTION("IF(B272="""","" "",IMPORTRANGE(B272,""'export'!g1""))")," ")</f>
        <v> </v>
      </c>
    </row>
    <row r="273">
      <c r="A273" s="18"/>
      <c r="B273" s="35"/>
      <c r="C273" s="20" t="str">
        <f>IFERROR(__xludf.DUMMYFUNCTION("IF(B273="""","" "",IMPORTRANGE(B273,""'Export'!m1""))")," ")</f>
        <v> </v>
      </c>
      <c r="D273" s="21" t="str">
        <f t="shared" si="1"/>
        <v> ,  ,  </v>
      </c>
      <c r="E273" s="22" t="str">
        <f>IFERROR(__xludf.DUMMYFUNCTION("IF(B273="""","" "",IMPORTRANGE(B273,""'EXPORT'!L1""))")," ")</f>
        <v> </v>
      </c>
      <c r="F273" s="23" t="str">
        <f>IFERROR(__xludf.DUMMYFUNCTION("IF(B273="""","" "",IMPORTRANGE(B273,""'Export'!a1""))")," ")</f>
        <v> </v>
      </c>
      <c r="G273" s="23" t="str">
        <f>IFERROR(__xludf.DUMMYFUNCTION("IF(B273="""","" "",IMPORTRANGE(B273,""'export'!b1""))")," ")</f>
        <v> </v>
      </c>
      <c r="H273" s="23" t="str">
        <f>IFERROR(__xludf.DUMMYFUNCTION("IF(B273="""","" "",IMPORTRANGE(B273,""'export'!c1""))")," ")</f>
        <v> </v>
      </c>
      <c r="I273" s="24" t="str">
        <f>IFERROR(__xludf.DUMMYFUNCTION("IF(B273="""","" "",IMPORTRANGE(B273,""'export'!d1""))")," ")</f>
        <v> </v>
      </c>
      <c r="J273" s="25" t="str">
        <f>IFERROR(__xludf.DUMMYFUNCTION("IF(B273="""","" "",IMPORTRANGE(B273,""'export'!e1""))")," ")</f>
        <v> </v>
      </c>
      <c r="K273" s="25"/>
      <c r="L273" s="21" t="str">
        <f>IFERROR(__xludf.DUMMYFUNCTION("IF(B273="""","" "",IMPORTRANGE(B273,""'export'!f1""))")," ")</f>
        <v> </v>
      </c>
      <c r="M273" s="26" t="str">
        <f>IFERROR(__xludf.DUMMYFUNCTION("IF(B273="""","" "",IMPORTRANGE(B273,""'export'!h3""))")," ")</f>
        <v> </v>
      </c>
      <c r="N273" s="27" t="str">
        <f>IFERROR(__xludf.DUMMYFUNCTION("IF(B273="""","" "",IMPORTRANGE(B273,""'export'!h1""))")," ")</f>
        <v> </v>
      </c>
      <c r="O273" s="28" t="str">
        <f>IFERROR(__xludf.DUMMYFUNCTION("IF(B273="""","" "",IMPORTRANGE(B273,""'export'!h11""))")," ")</f>
        <v> </v>
      </c>
      <c r="P273" s="29" t="str">
        <f>IFERROR(__xludf.DUMMYFUNCTION("IF(B273="""","" "",IMPORTRANGE(B273,""'export'!i1""))")," ")</f>
        <v> </v>
      </c>
      <c r="Q273" s="30" t="str">
        <f>IFERROR(__xludf.DUMMYFUNCTION("IF(B273="""","" "",IMPORTRANGE(B273,""'export'!i13""))")," ")</f>
        <v> </v>
      </c>
      <c r="R273" s="31" t="str">
        <f t="shared" si="2"/>
        <v/>
      </c>
      <c r="S273" s="32" t="str">
        <f>IFERROR(__xludf.DUMMYFUNCTION("IF(B273="""","" "",IMPORTRANGE(B273,""'export'!g1""))")," ")</f>
        <v> </v>
      </c>
    </row>
    <row r="274">
      <c r="A274" s="18"/>
      <c r="B274" s="35"/>
      <c r="C274" s="20" t="str">
        <f>IFERROR(__xludf.DUMMYFUNCTION("IF(B274="""","" "",IMPORTRANGE(B274,""'Export'!m1""))")," ")</f>
        <v> </v>
      </c>
      <c r="D274" s="21" t="str">
        <f t="shared" si="1"/>
        <v> ,  ,  </v>
      </c>
      <c r="E274" s="22" t="str">
        <f>IFERROR(__xludf.DUMMYFUNCTION("IF(B274="""","" "",IMPORTRANGE(B274,""'EXPORT'!L1""))")," ")</f>
        <v> </v>
      </c>
      <c r="F274" s="23" t="str">
        <f>IFERROR(__xludf.DUMMYFUNCTION("IF(B274="""","" "",IMPORTRANGE(B274,""'Export'!a1""))")," ")</f>
        <v> </v>
      </c>
      <c r="G274" s="23" t="str">
        <f>IFERROR(__xludf.DUMMYFUNCTION("IF(B274="""","" "",IMPORTRANGE(B274,""'export'!b1""))")," ")</f>
        <v> </v>
      </c>
      <c r="H274" s="23" t="str">
        <f>IFERROR(__xludf.DUMMYFUNCTION("IF(B274="""","" "",IMPORTRANGE(B274,""'export'!c1""))")," ")</f>
        <v> </v>
      </c>
      <c r="I274" s="24" t="str">
        <f>IFERROR(__xludf.DUMMYFUNCTION("IF(B274="""","" "",IMPORTRANGE(B274,""'export'!d1""))")," ")</f>
        <v> </v>
      </c>
      <c r="J274" s="25" t="str">
        <f>IFERROR(__xludf.DUMMYFUNCTION("IF(B274="""","" "",IMPORTRANGE(B274,""'export'!e1""))")," ")</f>
        <v> </v>
      </c>
      <c r="K274" s="25"/>
      <c r="L274" s="21" t="str">
        <f>IFERROR(__xludf.DUMMYFUNCTION("IF(B274="""","" "",IMPORTRANGE(B274,""'export'!f1""))")," ")</f>
        <v> </v>
      </c>
      <c r="M274" s="26" t="str">
        <f>IFERROR(__xludf.DUMMYFUNCTION("IF(B274="""","" "",IMPORTRANGE(B274,""'export'!h3""))")," ")</f>
        <v> </v>
      </c>
      <c r="N274" s="27" t="str">
        <f>IFERROR(__xludf.DUMMYFUNCTION("IF(B274="""","" "",IMPORTRANGE(B274,""'export'!h1""))")," ")</f>
        <v> </v>
      </c>
      <c r="O274" s="28" t="str">
        <f>IFERROR(__xludf.DUMMYFUNCTION("IF(B274="""","" "",IMPORTRANGE(B274,""'export'!h11""))")," ")</f>
        <v> </v>
      </c>
      <c r="P274" s="29" t="str">
        <f>IFERROR(__xludf.DUMMYFUNCTION("IF(B274="""","" "",IMPORTRANGE(B274,""'export'!i1""))")," ")</f>
        <v> </v>
      </c>
      <c r="Q274" s="30" t="str">
        <f>IFERROR(__xludf.DUMMYFUNCTION("IF(B274="""","" "",IMPORTRANGE(B274,""'export'!i13""))")," ")</f>
        <v> </v>
      </c>
      <c r="R274" s="31" t="str">
        <f t="shared" si="2"/>
        <v/>
      </c>
      <c r="S274" s="32" t="str">
        <f>IFERROR(__xludf.DUMMYFUNCTION("IF(B274="""","" "",IMPORTRANGE(B274,""'export'!g1""))")," ")</f>
        <v> </v>
      </c>
    </row>
    <row r="275">
      <c r="A275" s="18"/>
      <c r="B275" s="35"/>
      <c r="C275" s="20" t="str">
        <f>IFERROR(__xludf.DUMMYFUNCTION("IF(B275="""","" "",IMPORTRANGE(B275,""'Export'!m1""))")," ")</f>
        <v> </v>
      </c>
      <c r="D275" s="21" t="str">
        <f t="shared" si="1"/>
        <v> ,  ,  </v>
      </c>
      <c r="E275" s="22" t="str">
        <f>IFERROR(__xludf.DUMMYFUNCTION("IF(B275="""","" "",IMPORTRANGE(B275,""'EXPORT'!L1""))")," ")</f>
        <v> </v>
      </c>
      <c r="F275" s="23" t="str">
        <f>IFERROR(__xludf.DUMMYFUNCTION("IF(B275="""","" "",IMPORTRANGE(B275,""'Export'!a1""))")," ")</f>
        <v> </v>
      </c>
      <c r="G275" s="23" t="str">
        <f>IFERROR(__xludf.DUMMYFUNCTION("IF(B275="""","" "",IMPORTRANGE(B275,""'export'!b1""))")," ")</f>
        <v> </v>
      </c>
      <c r="H275" s="23" t="str">
        <f>IFERROR(__xludf.DUMMYFUNCTION("IF(B275="""","" "",IMPORTRANGE(B275,""'export'!c1""))")," ")</f>
        <v> </v>
      </c>
      <c r="I275" s="24" t="str">
        <f>IFERROR(__xludf.DUMMYFUNCTION("IF(B275="""","" "",IMPORTRANGE(B275,""'export'!d1""))")," ")</f>
        <v> </v>
      </c>
      <c r="J275" s="25" t="str">
        <f>IFERROR(__xludf.DUMMYFUNCTION("IF(B275="""","" "",IMPORTRANGE(B275,""'export'!e1""))")," ")</f>
        <v> </v>
      </c>
      <c r="K275" s="25"/>
      <c r="L275" s="21" t="str">
        <f>IFERROR(__xludf.DUMMYFUNCTION("IF(B275="""","" "",IMPORTRANGE(B275,""'export'!f1""))")," ")</f>
        <v> </v>
      </c>
      <c r="M275" s="26" t="str">
        <f>IFERROR(__xludf.DUMMYFUNCTION("IF(B275="""","" "",IMPORTRANGE(B275,""'export'!h3""))")," ")</f>
        <v> </v>
      </c>
      <c r="N275" s="27" t="str">
        <f>IFERROR(__xludf.DUMMYFUNCTION("IF(B275="""","" "",IMPORTRANGE(B275,""'export'!h1""))")," ")</f>
        <v> </v>
      </c>
      <c r="O275" s="28" t="str">
        <f>IFERROR(__xludf.DUMMYFUNCTION("IF(B275="""","" "",IMPORTRANGE(B275,""'export'!h11""))")," ")</f>
        <v> </v>
      </c>
      <c r="P275" s="29" t="str">
        <f>IFERROR(__xludf.DUMMYFUNCTION("IF(B275="""","" "",IMPORTRANGE(B275,""'export'!i1""))")," ")</f>
        <v> </v>
      </c>
      <c r="Q275" s="30" t="str">
        <f>IFERROR(__xludf.DUMMYFUNCTION("IF(B275="""","" "",IMPORTRANGE(B275,""'export'!i13""))")," ")</f>
        <v> </v>
      </c>
      <c r="R275" s="31" t="str">
        <f t="shared" si="2"/>
        <v/>
      </c>
      <c r="S275" s="32" t="str">
        <f>IFERROR(__xludf.DUMMYFUNCTION("IF(B275="""","" "",IMPORTRANGE(B275,""'export'!g1""))")," ")</f>
        <v> </v>
      </c>
    </row>
    <row r="276">
      <c r="A276" s="18"/>
      <c r="B276" s="35"/>
      <c r="C276" s="20" t="str">
        <f>IFERROR(__xludf.DUMMYFUNCTION("IF(B276="""","" "",IMPORTRANGE(B276,""'Export'!m1""))")," ")</f>
        <v> </v>
      </c>
      <c r="D276" s="21" t="str">
        <f t="shared" si="1"/>
        <v> ,  ,  </v>
      </c>
      <c r="E276" s="22" t="str">
        <f>IFERROR(__xludf.DUMMYFUNCTION("IF(B276="""","" "",IMPORTRANGE(B276,""'EXPORT'!L1""))")," ")</f>
        <v> </v>
      </c>
      <c r="F276" s="23" t="str">
        <f>IFERROR(__xludf.DUMMYFUNCTION("IF(B276="""","" "",IMPORTRANGE(B276,""'Export'!a1""))")," ")</f>
        <v> </v>
      </c>
      <c r="G276" s="23" t="str">
        <f>IFERROR(__xludf.DUMMYFUNCTION("IF(B276="""","" "",IMPORTRANGE(B276,""'export'!b1""))")," ")</f>
        <v> </v>
      </c>
      <c r="H276" s="23" t="str">
        <f>IFERROR(__xludf.DUMMYFUNCTION("IF(B276="""","" "",IMPORTRANGE(B276,""'export'!c1""))")," ")</f>
        <v> </v>
      </c>
      <c r="I276" s="24" t="str">
        <f>IFERROR(__xludf.DUMMYFUNCTION("IF(B276="""","" "",IMPORTRANGE(B276,""'export'!d1""))")," ")</f>
        <v> </v>
      </c>
      <c r="J276" s="25" t="str">
        <f>IFERROR(__xludf.DUMMYFUNCTION("IF(B276="""","" "",IMPORTRANGE(B276,""'export'!e1""))")," ")</f>
        <v> </v>
      </c>
      <c r="K276" s="25"/>
      <c r="L276" s="21" t="str">
        <f>IFERROR(__xludf.DUMMYFUNCTION("IF(B276="""","" "",IMPORTRANGE(B276,""'export'!f1""))")," ")</f>
        <v> </v>
      </c>
      <c r="M276" s="26" t="str">
        <f>IFERROR(__xludf.DUMMYFUNCTION("IF(B276="""","" "",IMPORTRANGE(B276,""'export'!h3""))")," ")</f>
        <v> </v>
      </c>
      <c r="N276" s="27" t="str">
        <f>IFERROR(__xludf.DUMMYFUNCTION("IF(B276="""","" "",IMPORTRANGE(B276,""'export'!h1""))")," ")</f>
        <v> </v>
      </c>
      <c r="O276" s="28" t="str">
        <f>IFERROR(__xludf.DUMMYFUNCTION("IF(B276="""","" "",IMPORTRANGE(B276,""'export'!h11""))")," ")</f>
        <v> </v>
      </c>
      <c r="P276" s="29" t="str">
        <f>IFERROR(__xludf.DUMMYFUNCTION("IF(B276="""","" "",IMPORTRANGE(B276,""'export'!i1""))")," ")</f>
        <v> </v>
      </c>
      <c r="Q276" s="30" t="str">
        <f>IFERROR(__xludf.DUMMYFUNCTION("IF(B276="""","" "",IMPORTRANGE(B276,""'export'!i13""))")," ")</f>
        <v> </v>
      </c>
      <c r="R276" s="31" t="str">
        <f t="shared" si="2"/>
        <v/>
      </c>
      <c r="S276" s="32" t="str">
        <f>IFERROR(__xludf.DUMMYFUNCTION("IF(B276="""","" "",IMPORTRANGE(B276,""'export'!g1""))")," ")</f>
        <v> </v>
      </c>
    </row>
    <row r="277">
      <c r="A277" s="18"/>
      <c r="B277" s="35"/>
      <c r="C277" s="20" t="str">
        <f>IFERROR(__xludf.DUMMYFUNCTION("IF(B277="""","" "",IMPORTRANGE(B277,""'Export'!m1""))")," ")</f>
        <v> </v>
      </c>
      <c r="D277" s="21" t="str">
        <f t="shared" si="1"/>
        <v> ,  ,  </v>
      </c>
      <c r="E277" s="22" t="str">
        <f>IFERROR(__xludf.DUMMYFUNCTION("IF(B277="""","" "",IMPORTRANGE(B277,""'EXPORT'!L1""))")," ")</f>
        <v> </v>
      </c>
      <c r="F277" s="23" t="str">
        <f>IFERROR(__xludf.DUMMYFUNCTION("IF(B277="""","" "",IMPORTRANGE(B277,""'Export'!a1""))")," ")</f>
        <v> </v>
      </c>
      <c r="G277" s="23" t="str">
        <f>IFERROR(__xludf.DUMMYFUNCTION("IF(B277="""","" "",IMPORTRANGE(B277,""'export'!b1""))")," ")</f>
        <v> </v>
      </c>
      <c r="H277" s="23" t="str">
        <f>IFERROR(__xludf.DUMMYFUNCTION("IF(B277="""","" "",IMPORTRANGE(B277,""'export'!c1""))")," ")</f>
        <v> </v>
      </c>
      <c r="I277" s="24" t="str">
        <f>IFERROR(__xludf.DUMMYFUNCTION("IF(B277="""","" "",IMPORTRANGE(B277,""'export'!d1""))")," ")</f>
        <v> </v>
      </c>
      <c r="J277" s="25" t="str">
        <f>IFERROR(__xludf.DUMMYFUNCTION("IF(B277="""","" "",IMPORTRANGE(B277,""'export'!e1""))")," ")</f>
        <v> </v>
      </c>
      <c r="K277" s="25"/>
      <c r="L277" s="21" t="str">
        <f>IFERROR(__xludf.DUMMYFUNCTION("IF(B277="""","" "",IMPORTRANGE(B277,""'export'!f1""))")," ")</f>
        <v> </v>
      </c>
      <c r="M277" s="26" t="str">
        <f>IFERROR(__xludf.DUMMYFUNCTION("IF(B277="""","" "",IMPORTRANGE(B277,""'export'!h3""))")," ")</f>
        <v> </v>
      </c>
      <c r="N277" s="27" t="str">
        <f>IFERROR(__xludf.DUMMYFUNCTION("IF(B277="""","" "",IMPORTRANGE(B277,""'export'!h1""))")," ")</f>
        <v> </v>
      </c>
      <c r="O277" s="28" t="str">
        <f>IFERROR(__xludf.DUMMYFUNCTION("IF(B277="""","" "",IMPORTRANGE(B277,""'export'!h11""))")," ")</f>
        <v> </v>
      </c>
      <c r="P277" s="29" t="str">
        <f>IFERROR(__xludf.DUMMYFUNCTION("IF(B277="""","" "",IMPORTRANGE(B277,""'export'!i1""))")," ")</f>
        <v> </v>
      </c>
      <c r="Q277" s="30" t="str">
        <f>IFERROR(__xludf.DUMMYFUNCTION("IF(B277="""","" "",IMPORTRANGE(B277,""'export'!i13""))")," ")</f>
        <v> </v>
      </c>
      <c r="R277" s="31" t="str">
        <f t="shared" si="2"/>
        <v/>
      </c>
      <c r="S277" s="32" t="str">
        <f>IFERROR(__xludf.DUMMYFUNCTION("IF(B277="""","" "",IMPORTRANGE(B277,""'export'!g1""))")," ")</f>
        <v> </v>
      </c>
    </row>
    <row r="278">
      <c r="A278" s="18"/>
      <c r="B278" s="35"/>
      <c r="C278" s="20" t="str">
        <f>IFERROR(__xludf.DUMMYFUNCTION("IF(B278="""","" "",IMPORTRANGE(B278,""'Export'!m1""))")," ")</f>
        <v> </v>
      </c>
      <c r="D278" s="21" t="str">
        <f t="shared" si="1"/>
        <v> ,  ,  </v>
      </c>
      <c r="E278" s="22" t="str">
        <f>IFERROR(__xludf.DUMMYFUNCTION("IF(B278="""","" "",IMPORTRANGE(B278,""'EXPORT'!L1""))")," ")</f>
        <v> </v>
      </c>
      <c r="F278" s="23" t="str">
        <f>IFERROR(__xludf.DUMMYFUNCTION("IF(B278="""","" "",IMPORTRANGE(B278,""'Export'!a1""))")," ")</f>
        <v> </v>
      </c>
      <c r="G278" s="23" t="str">
        <f>IFERROR(__xludf.DUMMYFUNCTION("IF(B278="""","" "",IMPORTRANGE(B278,""'export'!b1""))")," ")</f>
        <v> </v>
      </c>
      <c r="H278" s="23" t="str">
        <f>IFERROR(__xludf.DUMMYFUNCTION("IF(B278="""","" "",IMPORTRANGE(B278,""'export'!c1""))")," ")</f>
        <v> </v>
      </c>
      <c r="I278" s="24" t="str">
        <f>IFERROR(__xludf.DUMMYFUNCTION("IF(B278="""","" "",IMPORTRANGE(B278,""'export'!d1""))")," ")</f>
        <v> </v>
      </c>
      <c r="J278" s="25" t="str">
        <f>IFERROR(__xludf.DUMMYFUNCTION("IF(B278="""","" "",IMPORTRANGE(B278,""'export'!e1""))")," ")</f>
        <v> </v>
      </c>
      <c r="K278" s="25"/>
      <c r="L278" s="21" t="str">
        <f>IFERROR(__xludf.DUMMYFUNCTION("IF(B278="""","" "",IMPORTRANGE(B278,""'export'!f1""))")," ")</f>
        <v> </v>
      </c>
      <c r="M278" s="26" t="str">
        <f>IFERROR(__xludf.DUMMYFUNCTION("IF(B278="""","" "",IMPORTRANGE(B278,""'export'!h3""))")," ")</f>
        <v> </v>
      </c>
      <c r="N278" s="27" t="str">
        <f>IFERROR(__xludf.DUMMYFUNCTION("IF(B278="""","" "",IMPORTRANGE(B278,""'export'!h1""))")," ")</f>
        <v> </v>
      </c>
      <c r="O278" s="28" t="str">
        <f>IFERROR(__xludf.DUMMYFUNCTION("IF(B278="""","" "",IMPORTRANGE(B278,""'export'!h11""))")," ")</f>
        <v> </v>
      </c>
      <c r="P278" s="29" t="str">
        <f>IFERROR(__xludf.DUMMYFUNCTION("IF(B278="""","" "",IMPORTRANGE(B278,""'export'!i1""))")," ")</f>
        <v> </v>
      </c>
      <c r="Q278" s="30" t="str">
        <f>IFERROR(__xludf.DUMMYFUNCTION("IF(B278="""","" "",IMPORTRANGE(B278,""'export'!i13""))")," ")</f>
        <v> </v>
      </c>
      <c r="R278" s="31" t="str">
        <f t="shared" si="2"/>
        <v/>
      </c>
      <c r="S278" s="32" t="str">
        <f>IFERROR(__xludf.DUMMYFUNCTION("IF(B278="""","" "",IMPORTRANGE(B278,""'export'!g1""))")," ")</f>
        <v> </v>
      </c>
    </row>
    <row r="279">
      <c r="A279" s="18"/>
      <c r="B279" s="35"/>
      <c r="C279" s="20" t="str">
        <f>IFERROR(__xludf.DUMMYFUNCTION("IF(B279="""","" "",IMPORTRANGE(B279,""'Export'!m1""))")," ")</f>
        <v> </v>
      </c>
      <c r="D279" s="21" t="str">
        <f t="shared" si="1"/>
        <v> ,  ,  </v>
      </c>
      <c r="E279" s="22" t="str">
        <f>IFERROR(__xludf.DUMMYFUNCTION("IF(B279="""","" "",IMPORTRANGE(B279,""'EXPORT'!L1""))")," ")</f>
        <v> </v>
      </c>
      <c r="F279" s="23" t="str">
        <f>IFERROR(__xludf.DUMMYFUNCTION("IF(B279="""","" "",IMPORTRANGE(B279,""'Export'!a1""))")," ")</f>
        <v> </v>
      </c>
      <c r="G279" s="23" t="str">
        <f>IFERROR(__xludf.DUMMYFUNCTION("IF(B279="""","" "",IMPORTRANGE(B279,""'export'!b1""))")," ")</f>
        <v> </v>
      </c>
      <c r="H279" s="23" t="str">
        <f>IFERROR(__xludf.DUMMYFUNCTION("IF(B279="""","" "",IMPORTRANGE(B279,""'export'!c1""))")," ")</f>
        <v> </v>
      </c>
      <c r="I279" s="24" t="str">
        <f>IFERROR(__xludf.DUMMYFUNCTION("IF(B279="""","" "",IMPORTRANGE(B279,""'export'!d1""))")," ")</f>
        <v> </v>
      </c>
      <c r="J279" s="25" t="str">
        <f>IFERROR(__xludf.DUMMYFUNCTION("IF(B279="""","" "",IMPORTRANGE(B279,""'export'!e1""))")," ")</f>
        <v> </v>
      </c>
      <c r="K279" s="25"/>
      <c r="L279" s="21" t="str">
        <f>IFERROR(__xludf.DUMMYFUNCTION("IF(B279="""","" "",IMPORTRANGE(B279,""'export'!f1""))")," ")</f>
        <v> </v>
      </c>
      <c r="M279" s="26" t="str">
        <f>IFERROR(__xludf.DUMMYFUNCTION("IF(B279="""","" "",IMPORTRANGE(B279,""'export'!h3""))")," ")</f>
        <v> </v>
      </c>
      <c r="N279" s="27" t="str">
        <f>IFERROR(__xludf.DUMMYFUNCTION("IF(B279="""","" "",IMPORTRANGE(B279,""'export'!h1""))")," ")</f>
        <v> </v>
      </c>
      <c r="O279" s="28" t="str">
        <f>IFERROR(__xludf.DUMMYFUNCTION("IF(B279="""","" "",IMPORTRANGE(B279,""'export'!h11""))")," ")</f>
        <v> </v>
      </c>
      <c r="P279" s="29" t="str">
        <f>IFERROR(__xludf.DUMMYFUNCTION("IF(B279="""","" "",IMPORTRANGE(B279,""'export'!i1""))")," ")</f>
        <v> </v>
      </c>
      <c r="Q279" s="30" t="str">
        <f>IFERROR(__xludf.DUMMYFUNCTION("IF(B279="""","" "",IMPORTRANGE(B279,""'export'!i13""))")," ")</f>
        <v> </v>
      </c>
      <c r="R279" s="31" t="str">
        <f t="shared" si="2"/>
        <v/>
      </c>
      <c r="S279" s="32" t="str">
        <f>IFERROR(__xludf.DUMMYFUNCTION("IF(B279="""","" "",IMPORTRANGE(B279,""'export'!g1""))")," ")</f>
        <v> </v>
      </c>
    </row>
    <row r="280">
      <c r="A280" s="18"/>
      <c r="B280" s="35"/>
      <c r="C280" s="20" t="str">
        <f>IFERROR(__xludf.DUMMYFUNCTION("IF(B280="""","" "",IMPORTRANGE(B280,""'Export'!m1""))")," ")</f>
        <v> </v>
      </c>
      <c r="D280" s="21" t="str">
        <f t="shared" si="1"/>
        <v> ,  ,  </v>
      </c>
      <c r="E280" s="22" t="str">
        <f>IFERROR(__xludf.DUMMYFUNCTION("IF(B280="""","" "",IMPORTRANGE(B280,""'EXPORT'!L1""))")," ")</f>
        <v> </v>
      </c>
      <c r="F280" s="23" t="str">
        <f>IFERROR(__xludf.DUMMYFUNCTION("IF(B280="""","" "",IMPORTRANGE(B280,""'Export'!a1""))")," ")</f>
        <v> </v>
      </c>
      <c r="G280" s="23" t="str">
        <f>IFERROR(__xludf.DUMMYFUNCTION("IF(B280="""","" "",IMPORTRANGE(B280,""'export'!b1""))")," ")</f>
        <v> </v>
      </c>
      <c r="H280" s="23" t="str">
        <f>IFERROR(__xludf.DUMMYFUNCTION("IF(B280="""","" "",IMPORTRANGE(B280,""'export'!c1""))")," ")</f>
        <v> </v>
      </c>
      <c r="I280" s="24" t="str">
        <f>IFERROR(__xludf.DUMMYFUNCTION("IF(B280="""","" "",IMPORTRANGE(B280,""'export'!d1""))")," ")</f>
        <v> </v>
      </c>
      <c r="J280" s="25" t="str">
        <f>IFERROR(__xludf.DUMMYFUNCTION("IF(B280="""","" "",IMPORTRANGE(B280,""'export'!e1""))")," ")</f>
        <v> </v>
      </c>
      <c r="K280" s="25"/>
      <c r="L280" s="21" t="str">
        <f>IFERROR(__xludf.DUMMYFUNCTION("IF(B280="""","" "",IMPORTRANGE(B280,""'export'!f1""))")," ")</f>
        <v> </v>
      </c>
      <c r="M280" s="26" t="str">
        <f>IFERROR(__xludf.DUMMYFUNCTION("IF(B280="""","" "",IMPORTRANGE(B280,""'export'!h3""))")," ")</f>
        <v> </v>
      </c>
      <c r="N280" s="27" t="str">
        <f>IFERROR(__xludf.DUMMYFUNCTION("IF(B280="""","" "",IMPORTRANGE(B280,""'export'!h1""))")," ")</f>
        <v> </v>
      </c>
      <c r="O280" s="28" t="str">
        <f>IFERROR(__xludf.DUMMYFUNCTION("IF(B280="""","" "",IMPORTRANGE(B280,""'export'!h11""))")," ")</f>
        <v> </v>
      </c>
      <c r="P280" s="29" t="str">
        <f>IFERROR(__xludf.DUMMYFUNCTION("IF(B280="""","" "",IMPORTRANGE(B280,""'export'!i1""))")," ")</f>
        <v> </v>
      </c>
      <c r="Q280" s="30" t="str">
        <f>IFERROR(__xludf.DUMMYFUNCTION("IF(B280="""","" "",IMPORTRANGE(B280,""'export'!i13""))")," ")</f>
        <v> </v>
      </c>
      <c r="R280" s="31" t="str">
        <f t="shared" si="2"/>
        <v/>
      </c>
      <c r="S280" s="32" t="str">
        <f>IFERROR(__xludf.DUMMYFUNCTION("IF(B280="""","" "",IMPORTRANGE(B280,""'export'!g1""))")," ")</f>
        <v> </v>
      </c>
    </row>
    <row r="281">
      <c r="A281" s="18"/>
      <c r="B281" s="35"/>
      <c r="C281" s="20" t="str">
        <f>IFERROR(__xludf.DUMMYFUNCTION("IF(B281="""","" "",IMPORTRANGE(B281,""'Export'!m1""))")," ")</f>
        <v> </v>
      </c>
      <c r="D281" s="21" t="str">
        <f t="shared" si="1"/>
        <v> ,  ,  </v>
      </c>
      <c r="E281" s="22" t="str">
        <f>IFERROR(__xludf.DUMMYFUNCTION("IF(B281="""","" "",IMPORTRANGE(B281,""'EXPORT'!L1""))")," ")</f>
        <v> </v>
      </c>
      <c r="F281" s="23" t="str">
        <f>IFERROR(__xludf.DUMMYFUNCTION("IF(B281="""","" "",IMPORTRANGE(B281,""'Export'!a1""))")," ")</f>
        <v> </v>
      </c>
      <c r="G281" s="23" t="str">
        <f>IFERROR(__xludf.DUMMYFUNCTION("IF(B281="""","" "",IMPORTRANGE(B281,""'export'!b1""))")," ")</f>
        <v> </v>
      </c>
      <c r="H281" s="23" t="str">
        <f>IFERROR(__xludf.DUMMYFUNCTION("IF(B281="""","" "",IMPORTRANGE(B281,""'export'!c1""))")," ")</f>
        <v> </v>
      </c>
      <c r="I281" s="24" t="str">
        <f>IFERROR(__xludf.DUMMYFUNCTION("IF(B281="""","" "",IMPORTRANGE(B281,""'export'!d1""))")," ")</f>
        <v> </v>
      </c>
      <c r="J281" s="25" t="str">
        <f>IFERROR(__xludf.DUMMYFUNCTION("IF(B281="""","" "",IMPORTRANGE(B281,""'export'!e1""))")," ")</f>
        <v> </v>
      </c>
      <c r="K281" s="25"/>
      <c r="L281" s="21" t="str">
        <f>IFERROR(__xludf.DUMMYFUNCTION("IF(B281="""","" "",IMPORTRANGE(B281,""'export'!f1""))")," ")</f>
        <v> </v>
      </c>
      <c r="M281" s="26" t="str">
        <f>IFERROR(__xludf.DUMMYFUNCTION("IF(B281="""","" "",IMPORTRANGE(B281,""'export'!h3""))")," ")</f>
        <v> </v>
      </c>
      <c r="N281" s="27" t="str">
        <f>IFERROR(__xludf.DUMMYFUNCTION("IF(B281="""","" "",IMPORTRANGE(B281,""'export'!h1""))")," ")</f>
        <v> </v>
      </c>
      <c r="O281" s="28" t="str">
        <f>IFERROR(__xludf.DUMMYFUNCTION("IF(B281="""","" "",IMPORTRANGE(B281,""'export'!h11""))")," ")</f>
        <v> </v>
      </c>
      <c r="P281" s="29" t="str">
        <f>IFERROR(__xludf.DUMMYFUNCTION("IF(B281="""","" "",IMPORTRANGE(B281,""'export'!i1""))")," ")</f>
        <v> </v>
      </c>
      <c r="Q281" s="30" t="str">
        <f>IFERROR(__xludf.DUMMYFUNCTION("IF(B281="""","" "",IMPORTRANGE(B281,""'export'!i13""))")," ")</f>
        <v> </v>
      </c>
      <c r="R281" s="31" t="str">
        <f t="shared" si="2"/>
        <v/>
      </c>
      <c r="S281" s="32" t="str">
        <f>IFERROR(__xludf.DUMMYFUNCTION("IF(B281="""","" "",IMPORTRANGE(B281,""'export'!g1""))")," ")</f>
        <v> </v>
      </c>
    </row>
    <row r="282">
      <c r="A282" s="18"/>
      <c r="B282" s="35"/>
      <c r="C282" s="20" t="str">
        <f>IFERROR(__xludf.DUMMYFUNCTION("IF(B282="""","" "",IMPORTRANGE(B282,""'Export'!m1""))")," ")</f>
        <v> </v>
      </c>
      <c r="D282" s="21" t="str">
        <f t="shared" si="1"/>
        <v> ,  ,  </v>
      </c>
      <c r="E282" s="22" t="str">
        <f>IFERROR(__xludf.DUMMYFUNCTION("IF(B282="""","" "",IMPORTRANGE(B282,""'EXPORT'!L1""))")," ")</f>
        <v> </v>
      </c>
      <c r="F282" s="23" t="str">
        <f>IFERROR(__xludf.DUMMYFUNCTION("IF(B282="""","" "",IMPORTRANGE(B282,""'Export'!a1""))")," ")</f>
        <v> </v>
      </c>
      <c r="G282" s="23" t="str">
        <f>IFERROR(__xludf.DUMMYFUNCTION("IF(B282="""","" "",IMPORTRANGE(B282,""'export'!b1""))")," ")</f>
        <v> </v>
      </c>
      <c r="H282" s="23" t="str">
        <f>IFERROR(__xludf.DUMMYFUNCTION("IF(B282="""","" "",IMPORTRANGE(B282,""'export'!c1""))")," ")</f>
        <v> </v>
      </c>
      <c r="I282" s="24" t="str">
        <f>IFERROR(__xludf.DUMMYFUNCTION("IF(B282="""","" "",IMPORTRANGE(B282,""'export'!d1""))")," ")</f>
        <v> </v>
      </c>
      <c r="J282" s="25" t="str">
        <f>IFERROR(__xludf.DUMMYFUNCTION("IF(B282="""","" "",IMPORTRANGE(B282,""'export'!e1""))")," ")</f>
        <v> </v>
      </c>
      <c r="K282" s="25"/>
      <c r="L282" s="21" t="str">
        <f>IFERROR(__xludf.DUMMYFUNCTION("IF(B282="""","" "",IMPORTRANGE(B282,""'export'!f1""))")," ")</f>
        <v> </v>
      </c>
      <c r="M282" s="26" t="str">
        <f>IFERROR(__xludf.DUMMYFUNCTION("IF(B282="""","" "",IMPORTRANGE(B282,""'export'!h3""))")," ")</f>
        <v> </v>
      </c>
      <c r="N282" s="27" t="str">
        <f>IFERROR(__xludf.DUMMYFUNCTION("IF(B282="""","" "",IMPORTRANGE(B282,""'export'!h1""))")," ")</f>
        <v> </v>
      </c>
      <c r="O282" s="28" t="str">
        <f>IFERROR(__xludf.DUMMYFUNCTION("IF(B282="""","" "",IMPORTRANGE(B282,""'export'!h11""))")," ")</f>
        <v> </v>
      </c>
      <c r="P282" s="29" t="str">
        <f>IFERROR(__xludf.DUMMYFUNCTION("IF(B282="""","" "",IMPORTRANGE(B282,""'export'!i1""))")," ")</f>
        <v> </v>
      </c>
      <c r="Q282" s="30" t="str">
        <f>IFERROR(__xludf.DUMMYFUNCTION("IF(B282="""","" "",IMPORTRANGE(B282,""'export'!i13""))")," ")</f>
        <v> </v>
      </c>
      <c r="R282" s="31" t="str">
        <f t="shared" si="2"/>
        <v/>
      </c>
      <c r="S282" s="32" t="str">
        <f>IFERROR(__xludf.DUMMYFUNCTION("IF(B282="""","" "",IMPORTRANGE(B282,""'export'!g1""))")," ")</f>
        <v> </v>
      </c>
    </row>
    <row r="283">
      <c r="A283" s="18"/>
      <c r="B283" s="35"/>
      <c r="C283" s="20" t="str">
        <f>IFERROR(__xludf.DUMMYFUNCTION("IF(B283="""","" "",IMPORTRANGE(B283,""'Export'!m1""))")," ")</f>
        <v> </v>
      </c>
      <c r="D283" s="21" t="str">
        <f t="shared" si="1"/>
        <v> ,  ,  </v>
      </c>
      <c r="E283" s="22" t="str">
        <f>IFERROR(__xludf.DUMMYFUNCTION("IF(B283="""","" "",IMPORTRANGE(B283,""'EXPORT'!L1""))")," ")</f>
        <v> </v>
      </c>
      <c r="F283" s="23" t="str">
        <f>IFERROR(__xludf.DUMMYFUNCTION("IF(B283="""","" "",IMPORTRANGE(B283,""'Export'!a1""))")," ")</f>
        <v> </v>
      </c>
      <c r="G283" s="23" t="str">
        <f>IFERROR(__xludf.DUMMYFUNCTION("IF(B283="""","" "",IMPORTRANGE(B283,""'export'!b1""))")," ")</f>
        <v> </v>
      </c>
      <c r="H283" s="23" t="str">
        <f>IFERROR(__xludf.DUMMYFUNCTION("IF(B283="""","" "",IMPORTRANGE(B283,""'export'!c1""))")," ")</f>
        <v> </v>
      </c>
      <c r="I283" s="24" t="str">
        <f>IFERROR(__xludf.DUMMYFUNCTION("IF(B283="""","" "",IMPORTRANGE(B283,""'export'!d1""))")," ")</f>
        <v> </v>
      </c>
      <c r="J283" s="25" t="str">
        <f>IFERROR(__xludf.DUMMYFUNCTION("IF(B283="""","" "",IMPORTRANGE(B283,""'export'!e1""))")," ")</f>
        <v> </v>
      </c>
      <c r="K283" s="25"/>
      <c r="L283" s="21" t="str">
        <f>IFERROR(__xludf.DUMMYFUNCTION("IF(B283="""","" "",IMPORTRANGE(B283,""'export'!f1""))")," ")</f>
        <v> </v>
      </c>
      <c r="M283" s="26" t="str">
        <f>IFERROR(__xludf.DUMMYFUNCTION("IF(B283="""","" "",IMPORTRANGE(B283,""'export'!h3""))")," ")</f>
        <v> </v>
      </c>
      <c r="N283" s="27" t="str">
        <f>IFERROR(__xludf.DUMMYFUNCTION("IF(B283="""","" "",IMPORTRANGE(B283,""'export'!h1""))")," ")</f>
        <v> </v>
      </c>
      <c r="O283" s="28" t="str">
        <f>IFERROR(__xludf.DUMMYFUNCTION("IF(B283="""","" "",IMPORTRANGE(B283,""'export'!h11""))")," ")</f>
        <v> </v>
      </c>
      <c r="P283" s="29" t="str">
        <f>IFERROR(__xludf.DUMMYFUNCTION("IF(B283="""","" "",IMPORTRANGE(B283,""'export'!i1""))")," ")</f>
        <v> </v>
      </c>
      <c r="Q283" s="30" t="str">
        <f>IFERROR(__xludf.DUMMYFUNCTION("IF(B283="""","" "",IMPORTRANGE(B283,""'export'!i13""))")," ")</f>
        <v> </v>
      </c>
      <c r="R283" s="31" t="str">
        <f t="shared" si="2"/>
        <v/>
      </c>
      <c r="S283" s="32" t="str">
        <f>IFERROR(__xludf.DUMMYFUNCTION("IF(B283="""","" "",IMPORTRANGE(B283,""'export'!g1""))")," ")</f>
        <v> </v>
      </c>
    </row>
    <row r="284">
      <c r="A284" s="18"/>
      <c r="B284" s="35"/>
      <c r="C284" s="20" t="str">
        <f>IFERROR(__xludf.DUMMYFUNCTION("IF(B284="""","" "",IMPORTRANGE(B284,""'Export'!m1""))")," ")</f>
        <v> </v>
      </c>
      <c r="D284" s="21" t="str">
        <f t="shared" si="1"/>
        <v> ,  ,  </v>
      </c>
      <c r="E284" s="22" t="str">
        <f>IFERROR(__xludf.DUMMYFUNCTION("IF(B284="""","" "",IMPORTRANGE(B284,""'EXPORT'!L1""))")," ")</f>
        <v> </v>
      </c>
      <c r="F284" s="23" t="str">
        <f>IFERROR(__xludf.DUMMYFUNCTION("IF(B284="""","" "",IMPORTRANGE(B284,""'Export'!a1""))")," ")</f>
        <v> </v>
      </c>
      <c r="G284" s="23" t="str">
        <f>IFERROR(__xludf.DUMMYFUNCTION("IF(B284="""","" "",IMPORTRANGE(B284,""'export'!b1""))")," ")</f>
        <v> </v>
      </c>
      <c r="H284" s="23" t="str">
        <f>IFERROR(__xludf.DUMMYFUNCTION("IF(B284="""","" "",IMPORTRANGE(B284,""'export'!c1""))")," ")</f>
        <v> </v>
      </c>
      <c r="I284" s="24" t="str">
        <f>IFERROR(__xludf.DUMMYFUNCTION("IF(B284="""","" "",IMPORTRANGE(B284,""'export'!d1""))")," ")</f>
        <v> </v>
      </c>
      <c r="J284" s="25" t="str">
        <f>IFERROR(__xludf.DUMMYFUNCTION("IF(B284="""","" "",IMPORTRANGE(B284,""'export'!e1""))")," ")</f>
        <v> </v>
      </c>
      <c r="K284" s="25"/>
      <c r="L284" s="21" t="str">
        <f>IFERROR(__xludf.DUMMYFUNCTION("IF(B284="""","" "",IMPORTRANGE(B284,""'export'!f1""))")," ")</f>
        <v> </v>
      </c>
      <c r="M284" s="26" t="str">
        <f>IFERROR(__xludf.DUMMYFUNCTION("IF(B284="""","" "",IMPORTRANGE(B284,""'export'!h3""))")," ")</f>
        <v> </v>
      </c>
      <c r="N284" s="27" t="str">
        <f>IFERROR(__xludf.DUMMYFUNCTION("IF(B284="""","" "",IMPORTRANGE(B284,""'export'!h1""))")," ")</f>
        <v> </v>
      </c>
      <c r="O284" s="28" t="str">
        <f>IFERROR(__xludf.DUMMYFUNCTION("IF(B284="""","" "",IMPORTRANGE(B284,""'export'!h11""))")," ")</f>
        <v> </v>
      </c>
      <c r="P284" s="29" t="str">
        <f>IFERROR(__xludf.DUMMYFUNCTION("IF(B284="""","" "",IMPORTRANGE(B284,""'export'!i1""))")," ")</f>
        <v> </v>
      </c>
      <c r="Q284" s="30" t="str">
        <f>IFERROR(__xludf.DUMMYFUNCTION("IF(B284="""","" "",IMPORTRANGE(B284,""'export'!i13""))")," ")</f>
        <v> </v>
      </c>
      <c r="R284" s="31" t="str">
        <f t="shared" si="2"/>
        <v/>
      </c>
      <c r="S284" s="32" t="str">
        <f>IFERROR(__xludf.DUMMYFUNCTION("IF(B284="""","" "",IMPORTRANGE(B284,""'export'!g1""))")," ")</f>
        <v> </v>
      </c>
    </row>
    <row r="285">
      <c r="A285" s="18"/>
      <c r="B285" s="35"/>
      <c r="C285" s="20" t="str">
        <f>IFERROR(__xludf.DUMMYFUNCTION("IF(B285="""","" "",IMPORTRANGE(B285,""'Export'!m1""))")," ")</f>
        <v> </v>
      </c>
      <c r="D285" s="21" t="str">
        <f t="shared" si="1"/>
        <v> ,  ,  </v>
      </c>
      <c r="E285" s="22" t="str">
        <f>IFERROR(__xludf.DUMMYFUNCTION("IF(B285="""","" "",IMPORTRANGE(B285,""'EXPORT'!L1""))")," ")</f>
        <v> </v>
      </c>
      <c r="F285" s="23" t="str">
        <f>IFERROR(__xludf.DUMMYFUNCTION("IF(B285="""","" "",IMPORTRANGE(B285,""'Export'!a1""))")," ")</f>
        <v> </v>
      </c>
      <c r="G285" s="23" t="str">
        <f>IFERROR(__xludf.DUMMYFUNCTION("IF(B285="""","" "",IMPORTRANGE(B285,""'export'!b1""))")," ")</f>
        <v> </v>
      </c>
      <c r="H285" s="23" t="str">
        <f>IFERROR(__xludf.DUMMYFUNCTION("IF(B285="""","" "",IMPORTRANGE(B285,""'export'!c1""))")," ")</f>
        <v> </v>
      </c>
      <c r="I285" s="24" t="str">
        <f>IFERROR(__xludf.DUMMYFUNCTION("IF(B285="""","" "",IMPORTRANGE(B285,""'export'!d1""))")," ")</f>
        <v> </v>
      </c>
      <c r="J285" s="25" t="str">
        <f>IFERROR(__xludf.DUMMYFUNCTION("IF(B285="""","" "",IMPORTRANGE(B285,""'export'!e1""))")," ")</f>
        <v> </v>
      </c>
      <c r="K285" s="25"/>
      <c r="L285" s="21" t="str">
        <f>IFERROR(__xludf.DUMMYFUNCTION("IF(B285="""","" "",IMPORTRANGE(B285,""'export'!f1""))")," ")</f>
        <v> </v>
      </c>
      <c r="M285" s="26" t="str">
        <f>IFERROR(__xludf.DUMMYFUNCTION("IF(B285="""","" "",IMPORTRANGE(B285,""'export'!h3""))")," ")</f>
        <v> </v>
      </c>
      <c r="N285" s="27" t="str">
        <f>IFERROR(__xludf.DUMMYFUNCTION("IF(B285="""","" "",IMPORTRANGE(B285,""'export'!h1""))")," ")</f>
        <v> </v>
      </c>
      <c r="O285" s="28" t="str">
        <f>IFERROR(__xludf.DUMMYFUNCTION("IF(B285="""","" "",IMPORTRANGE(B285,""'export'!h11""))")," ")</f>
        <v> </v>
      </c>
      <c r="P285" s="29" t="str">
        <f>IFERROR(__xludf.DUMMYFUNCTION("IF(B285="""","" "",IMPORTRANGE(B285,""'export'!i1""))")," ")</f>
        <v> </v>
      </c>
      <c r="Q285" s="30" t="str">
        <f>IFERROR(__xludf.DUMMYFUNCTION("IF(B285="""","" "",IMPORTRANGE(B285,""'export'!i13""))")," ")</f>
        <v> </v>
      </c>
      <c r="R285" s="31" t="str">
        <f t="shared" si="2"/>
        <v/>
      </c>
      <c r="S285" s="32" t="str">
        <f>IFERROR(__xludf.DUMMYFUNCTION("IF(B285="""","" "",IMPORTRANGE(B285,""'export'!g1""))")," ")</f>
        <v> </v>
      </c>
    </row>
    <row r="286">
      <c r="A286" s="18"/>
      <c r="B286" s="35"/>
      <c r="C286" s="20" t="str">
        <f>IFERROR(__xludf.DUMMYFUNCTION("IF(B286="""","" "",IMPORTRANGE(B286,""'Export'!m1""))")," ")</f>
        <v> </v>
      </c>
      <c r="D286" s="21" t="str">
        <f t="shared" si="1"/>
        <v> ,  ,  </v>
      </c>
      <c r="E286" s="22" t="str">
        <f>IFERROR(__xludf.DUMMYFUNCTION("IF(B286="""","" "",IMPORTRANGE(B286,""'EXPORT'!L1""))")," ")</f>
        <v> </v>
      </c>
      <c r="F286" s="23" t="str">
        <f>IFERROR(__xludf.DUMMYFUNCTION("IF(B286="""","" "",IMPORTRANGE(B286,""'Export'!a1""))")," ")</f>
        <v> </v>
      </c>
      <c r="G286" s="23" t="str">
        <f>IFERROR(__xludf.DUMMYFUNCTION("IF(B286="""","" "",IMPORTRANGE(B286,""'export'!b1""))")," ")</f>
        <v> </v>
      </c>
      <c r="H286" s="23" t="str">
        <f>IFERROR(__xludf.DUMMYFUNCTION("IF(B286="""","" "",IMPORTRANGE(B286,""'export'!c1""))")," ")</f>
        <v> </v>
      </c>
      <c r="I286" s="24" t="str">
        <f>IFERROR(__xludf.DUMMYFUNCTION("IF(B286="""","" "",IMPORTRANGE(B286,""'export'!d1""))")," ")</f>
        <v> </v>
      </c>
      <c r="J286" s="25" t="str">
        <f>IFERROR(__xludf.DUMMYFUNCTION("IF(B286="""","" "",IMPORTRANGE(B286,""'export'!e1""))")," ")</f>
        <v> </v>
      </c>
      <c r="K286" s="25"/>
      <c r="L286" s="21" t="str">
        <f>IFERROR(__xludf.DUMMYFUNCTION("IF(B286="""","" "",IMPORTRANGE(B286,""'export'!f1""))")," ")</f>
        <v> </v>
      </c>
      <c r="M286" s="26" t="str">
        <f>IFERROR(__xludf.DUMMYFUNCTION("IF(B286="""","" "",IMPORTRANGE(B286,""'export'!h3""))")," ")</f>
        <v> </v>
      </c>
      <c r="N286" s="27" t="str">
        <f>IFERROR(__xludf.DUMMYFUNCTION("IF(B286="""","" "",IMPORTRANGE(B286,""'export'!h1""))")," ")</f>
        <v> </v>
      </c>
      <c r="O286" s="28" t="str">
        <f>IFERROR(__xludf.DUMMYFUNCTION("IF(B286="""","" "",IMPORTRANGE(B286,""'export'!h11""))")," ")</f>
        <v> </v>
      </c>
      <c r="P286" s="29" t="str">
        <f>IFERROR(__xludf.DUMMYFUNCTION("IF(B286="""","" "",IMPORTRANGE(B286,""'export'!i1""))")," ")</f>
        <v> </v>
      </c>
      <c r="Q286" s="30" t="str">
        <f>IFERROR(__xludf.DUMMYFUNCTION("IF(B286="""","" "",IMPORTRANGE(B286,""'export'!i13""))")," ")</f>
        <v> </v>
      </c>
      <c r="R286" s="31" t="str">
        <f t="shared" si="2"/>
        <v/>
      </c>
      <c r="S286" s="32" t="str">
        <f>IFERROR(__xludf.DUMMYFUNCTION("IF(B286="""","" "",IMPORTRANGE(B286,""'export'!g1""))")," ")</f>
        <v> </v>
      </c>
    </row>
    <row r="287">
      <c r="A287" s="18"/>
      <c r="B287" s="35"/>
      <c r="C287" s="20" t="str">
        <f>IFERROR(__xludf.DUMMYFUNCTION("IF(B287="""","" "",IMPORTRANGE(B287,""'Export'!m1""))")," ")</f>
        <v> </v>
      </c>
      <c r="D287" s="21" t="str">
        <f t="shared" si="1"/>
        <v> ,  ,  </v>
      </c>
      <c r="E287" s="22" t="str">
        <f>IFERROR(__xludf.DUMMYFUNCTION("IF(B287="""","" "",IMPORTRANGE(B287,""'EXPORT'!L1""))")," ")</f>
        <v> </v>
      </c>
      <c r="F287" s="23" t="str">
        <f>IFERROR(__xludf.DUMMYFUNCTION("IF(B287="""","" "",IMPORTRANGE(B287,""'Export'!a1""))")," ")</f>
        <v> </v>
      </c>
      <c r="G287" s="23" t="str">
        <f>IFERROR(__xludf.DUMMYFUNCTION("IF(B287="""","" "",IMPORTRANGE(B287,""'export'!b1""))")," ")</f>
        <v> </v>
      </c>
      <c r="H287" s="23" t="str">
        <f>IFERROR(__xludf.DUMMYFUNCTION("IF(B287="""","" "",IMPORTRANGE(B287,""'export'!c1""))")," ")</f>
        <v> </v>
      </c>
      <c r="I287" s="24" t="str">
        <f>IFERROR(__xludf.DUMMYFUNCTION("IF(B287="""","" "",IMPORTRANGE(B287,""'export'!d1""))")," ")</f>
        <v> </v>
      </c>
      <c r="J287" s="25" t="str">
        <f>IFERROR(__xludf.DUMMYFUNCTION("IF(B287="""","" "",IMPORTRANGE(B287,""'export'!e1""))")," ")</f>
        <v> </v>
      </c>
      <c r="K287" s="25"/>
      <c r="L287" s="21" t="str">
        <f>IFERROR(__xludf.DUMMYFUNCTION("IF(B287="""","" "",IMPORTRANGE(B287,""'export'!f1""))")," ")</f>
        <v> </v>
      </c>
      <c r="M287" s="26" t="str">
        <f>IFERROR(__xludf.DUMMYFUNCTION("IF(B287="""","" "",IMPORTRANGE(B287,""'export'!h3""))")," ")</f>
        <v> </v>
      </c>
      <c r="N287" s="27" t="str">
        <f>IFERROR(__xludf.DUMMYFUNCTION("IF(B287="""","" "",IMPORTRANGE(B287,""'export'!h1""))")," ")</f>
        <v> </v>
      </c>
      <c r="O287" s="28" t="str">
        <f>IFERROR(__xludf.DUMMYFUNCTION("IF(B287="""","" "",IMPORTRANGE(B287,""'export'!h11""))")," ")</f>
        <v> </v>
      </c>
      <c r="P287" s="29" t="str">
        <f>IFERROR(__xludf.DUMMYFUNCTION("IF(B287="""","" "",IMPORTRANGE(B287,""'export'!i1""))")," ")</f>
        <v> </v>
      </c>
      <c r="Q287" s="30" t="str">
        <f>IFERROR(__xludf.DUMMYFUNCTION("IF(B287="""","" "",IMPORTRANGE(B287,""'export'!i13""))")," ")</f>
        <v> </v>
      </c>
      <c r="R287" s="31" t="str">
        <f t="shared" si="2"/>
        <v/>
      </c>
      <c r="S287" s="32" t="str">
        <f>IFERROR(__xludf.DUMMYFUNCTION("IF(B287="""","" "",IMPORTRANGE(B287,""'export'!g1""))")," ")</f>
        <v> </v>
      </c>
    </row>
    <row r="288">
      <c r="A288" s="18"/>
      <c r="B288" s="35"/>
      <c r="C288" s="20" t="str">
        <f>IFERROR(__xludf.DUMMYFUNCTION("IF(B288="""","" "",IMPORTRANGE(B288,""'Export'!m1""))")," ")</f>
        <v> </v>
      </c>
      <c r="D288" s="21" t="str">
        <f t="shared" si="1"/>
        <v> ,  ,  </v>
      </c>
      <c r="E288" s="22" t="str">
        <f>IFERROR(__xludf.DUMMYFUNCTION("IF(B288="""","" "",IMPORTRANGE(B288,""'EXPORT'!L1""))")," ")</f>
        <v> </v>
      </c>
      <c r="F288" s="23" t="str">
        <f>IFERROR(__xludf.DUMMYFUNCTION("IF(B288="""","" "",IMPORTRANGE(B288,""'Export'!a1""))")," ")</f>
        <v> </v>
      </c>
      <c r="G288" s="23" t="str">
        <f>IFERROR(__xludf.DUMMYFUNCTION("IF(B288="""","" "",IMPORTRANGE(B288,""'export'!b1""))")," ")</f>
        <v> </v>
      </c>
      <c r="H288" s="23" t="str">
        <f>IFERROR(__xludf.DUMMYFUNCTION("IF(B288="""","" "",IMPORTRANGE(B288,""'export'!c1""))")," ")</f>
        <v> </v>
      </c>
      <c r="I288" s="24" t="str">
        <f>IFERROR(__xludf.DUMMYFUNCTION("IF(B288="""","" "",IMPORTRANGE(B288,""'export'!d1""))")," ")</f>
        <v> </v>
      </c>
      <c r="J288" s="25" t="str">
        <f>IFERROR(__xludf.DUMMYFUNCTION("IF(B288="""","" "",IMPORTRANGE(B288,""'export'!e1""))")," ")</f>
        <v> </v>
      </c>
      <c r="K288" s="25"/>
      <c r="L288" s="21" t="str">
        <f>IFERROR(__xludf.DUMMYFUNCTION("IF(B288="""","" "",IMPORTRANGE(B288,""'export'!f1""))")," ")</f>
        <v> </v>
      </c>
      <c r="M288" s="26" t="str">
        <f>IFERROR(__xludf.DUMMYFUNCTION("IF(B288="""","" "",IMPORTRANGE(B288,""'export'!h3""))")," ")</f>
        <v> </v>
      </c>
      <c r="N288" s="27" t="str">
        <f>IFERROR(__xludf.DUMMYFUNCTION("IF(B288="""","" "",IMPORTRANGE(B288,""'export'!h1""))")," ")</f>
        <v> </v>
      </c>
      <c r="O288" s="28" t="str">
        <f>IFERROR(__xludf.DUMMYFUNCTION("IF(B288="""","" "",IMPORTRANGE(B288,""'export'!h11""))")," ")</f>
        <v> </v>
      </c>
      <c r="P288" s="29" t="str">
        <f>IFERROR(__xludf.DUMMYFUNCTION("IF(B288="""","" "",IMPORTRANGE(B288,""'export'!i1""))")," ")</f>
        <v> </v>
      </c>
      <c r="Q288" s="30" t="str">
        <f>IFERROR(__xludf.DUMMYFUNCTION("IF(B288="""","" "",IMPORTRANGE(B288,""'export'!i13""))")," ")</f>
        <v> </v>
      </c>
      <c r="R288" s="31" t="str">
        <f t="shared" si="2"/>
        <v/>
      </c>
      <c r="S288" s="32" t="str">
        <f>IFERROR(__xludf.DUMMYFUNCTION("IF(B288="""","" "",IMPORTRANGE(B288,""'export'!g1""))")," ")</f>
        <v> </v>
      </c>
    </row>
    <row r="289">
      <c r="A289" s="18"/>
      <c r="B289" s="35"/>
      <c r="C289" s="20" t="str">
        <f>IFERROR(__xludf.DUMMYFUNCTION("IF(B289="""","" "",IMPORTRANGE(B289,""'Export'!m1""))")," ")</f>
        <v> </v>
      </c>
      <c r="D289" s="21" t="str">
        <f t="shared" si="1"/>
        <v> ,  ,  </v>
      </c>
      <c r="E289" s="22" t="str">
        <f>IFERROR(__xludf.DUMMYFUNCTION("IF(B289="""","" "",IMPORTRANGE(B289,""'EXPORT'!L1""))")," ")</f>
        <v> </v>
      </c>
      <c r="F289" s="23" t="str">
        <f>IFERROR(__xludf.DUMMYFUNCTION("IF(B289="""","" "",IMPORTRANGE(B289,""'Export'!a1""))")," ")</f>
        <v> </v>
      </c>
      <c r="G289" s="23" t="str">
        <f>IFERROR(__xludf.DUMMYFUNCTION("IF(B289="""","" "",IMPORTRANGE(B289,""'export'!b1""))")," ")</f>
        <v> </v>
      </c>
      <c r="H289" s="23" t="str">
        <f>IFERROR(__xludf.DUMMYFUNCTION("IF(B289="""","" "",IMPORTRANGE(B289,""'export'!c1""))")," ")</f>
        <v> </v>
      </c>
      <c r="I289" s="24" t="str">
        <f>IFERROR(__xludf.DUMMYFUNCTION("IF(B289="""","" "",IMPORTRANGE(B289,""'export'!d1""))")," ")</f>
        <v> </v>
      </c>
      <c r="J289" s="25" t="str">
        <f>IFERROR(__xludf.DUMMYFUNCTION("IF(B289="""","" "",IMPORTRANGE(B289,""'export'!e1""))")," ")</f>
        <v> </v>
      </c>
      <c r="K289" s="25"/>
      <c r="L289" s="21" t="str">
        <f>IFERROR(__xludf.DUMMYFUNCTION("IF(B289="""","" "",IMPORTRANGE(B289,""'export'!f1""))")," ")</f>
        <v> </v>
      </c>
      <c r="M289" s="26" t="str">
        <f>IFERROR(__xludf.DUMMYFUNCTION("IF(B289="""","" "",IMPORTRANGE(B289,""'export'!h3""))")," ")</f>
        <v> </v>
      </c>
      <c r="N289" s="27" t="str">
        <f>IFERROR(__xludf.DUMMYFUNCTION("IF(B289="""","" "",IMPORTRANGE(B289,""'export'!h1""))")," ")</f>
        <v> </v>
      </c>
      <c r="O289" s="28" t="str">
        <f>IFERROR(__xludf.DUMMYFUNCTION("IF(B289="""","" "",IMPORTRANGE(B289,""'export'!h11""))")," ")</f>
        <v> </v>
      </c>
      <c r="P289" s="29" t="str">
        <f>IFERROR(__xludf.DUMMYFUNCTION("IF(B289="""","" "",IMPORTRANGE(B289,""'export'!i1""))")," ")</f>
        <v> </v>
      </c>
      <c r="Q289" s="30" t="str">
        <f>IFERROR(__xludf.DUMMYFUNCTION("IF(B289="""","" "",IMPORTRANGE(B289,""'export'!i13""))")," ")</f>
        <v> </v>
      </c>
      <c r="R289" s="31" t="str">
        <f t="shared" si="2"/>
        <v/>
      </c>
      <c r="S289" s="32" t="str">
        <f>IFERROR(__xludf.DUMMYFUNCTION("IF(B289="""","" "",IMPORTRANGE(B289,""'export'!g1""))")," ")</f>
        <v> </v>
      </c>
    </row>
    <row r="290">
      <c r="A290" s="18"/>
      <c r="B290" s="35"/>
      <c r="C290" s="20" t="str">
        <f>IFERROR(__xludf.DUMMYFUNCTION("IF(B290="""","" "",IMPORTRANGE(B290,""'Export'!m1""))")," ")</f>
        <v> </v>
      </c>
      <c r="D290" s="21" t="str">
        <f t="shared" si="1"/>
        <v> ,  ,  </v>
      </c>
      <c r="E290" s="22" t="str">
        <f>IFERROR(__xludf.DUMMYFUNCTION("IF(B290="""","" "",IMPORTRANGE(B290,""'EXPORT'!L1""))")," ")</f>
        <v> </v>
      </c>
      <c r="F290" s="23" t="str">
        <f>IFERROR(__xludf.DUMMYFUNCTION("IF(B290="""","" "",IMPORTRANGE(B290,""'Export'!a1""))")," ")</f>
        <v> </v>
      </c>
      <c r="G290" s="23" t="str">
        <f>IFERROR(__xludf.DUMMYFUNCTION("IF(B290="""","" "",IMPORTRANGE(B290,""'export'!b1""))")," ")</f>
        <v> </v>
      </c>
      <c r="H290" s="23" t="str">
        <f>IFERROR(__xludf.DUMMYFUNCTION("IF(B290="""","" "",IMPORTRANGE(B290,""'export'!c1""))")," ")</f>
        <v> </v>
      </c>
      <c r="I290" s="24" t="str">
        <f>IFERROR(__xludf.DUMMYFUNCTION("IF(B290="""","" "",IMPORTRANGE(B290,""'export'!d1""))")," ")</f>
        <v> </v>
      </c>
      <c r="J290" s="25" t="str">
        <f>IFERROR(__xludf.DUMMYFUNCTION("IF(B290="""","" "",IMPORTRANGE(B290,""'export'!e1""))")," ")</f>
        <v> </v>
      </c>
      <c r="K290" s="25"/>
      <c r="L290" s="21" t="str">
        <f>IFERROR(__xludf.DUMMYFUNCTION("IF(B290="""","" "",IMPORTRANGE(B290,""'export'!f1""))")," ")</f>
        <v> </v>
      </c>
      <c r="M290" s="26" t="str">
        <f>IFERROR(__xludf.DUMMYFUNCTION("IF(B290="""","" "",IMPORTRANGE(B290,""'export'!h3""))")," ")</f>
        <v> </v>
      </c>
      <c r="N290" s="27" t="str">
        <f>IFERROR(__xludf.DUMMYFUNCTION("IF(B290="""","" "",IMPORTRANGE(B290,""'export'!h1""))")," ")</f>
        <v> </v>
      </c>
      <c r="O290" s="28" t="str">
        <f>IFERROR(__xludf.DUMMYFUNCTION("IF(B290="""","" "",IMPORTRANGE(B290,""'export'!h11""))")," ")</f>
        <v> </v>
      </c>
      <c r="P290" s="29" t="str">
        <f>IFERROR(__xludf.DUMMYFUNCTION("IF(B290="""","" "",IMPORTRANGE(B290,""'export'!i1""))")," ")</f>
        <v> </v>
      </c>
      <c r="Q290" s="30" t="str">
        <f>IFERROR(__xludf.DUMMYFUNCTION("IF(B290="""","" "",IMPORTRANGE(B290,""'export'!i13""))")," ")</f>
        <v> </v>
      </c>
      <c r="R290" s="31" t="str">
        <f t="shared" si="2"/>
        <v/>
      </c>
      <c r="S290" s="32" t="str">
        <f>IFERROR(__xludf.DUMMYFUNCTION("IF(B290="""","" "",IMPORTRANGE(B290,""'export'!g1""))")," ")</f>
        <v> </v>
      </c>
    </row>
    <row r="291">
      <c r="A291" s="18"/>
      <c r="B291" s="35"/>
      <c r="C291" s="20" t="str">
        <f>IFERROR(__xludf.DUMMYFUNCTION("IF(B291="""","" "",IMPORTRANGE(B291,""'Export'!m1""))")," ")</f>
        <v> </v>
      </c>
      <c r="D291" s="21" t="str">
        <f t="shared" si="1"/>
        <v> ,  ,  </v>
      </c>
      <c r="E291" s="22" t="str">
        <f>IFERROR(__xludf.DUMMYFUNCTION("IF(B291="""","" "",IMPORTRANGE(B291,""'EXPORT'!L1""))")," ")</f>
        <v> </v>
      </c>
      <c r="F291" s="23" t="str">
        <f>IFERROR(__xludf.DUMMYFUNCTION("IF(B291="""","" "",IMPORTRANGE(B291,""'Export'!a1""))")," ")</f>
        <v> </v>
      </c>
      <c r="G291" s="23" t="str">
        <f>IFERROR(__xludf.DUMMYFUNCTION("IF(B291="""","" "",IMPORTRANGE(B291,""'export'!b1""))")," ")</f>
        <v> </v>
      </c>
      <c r="H291" s="23" t="str">
        <f>IFERROR(__xludf.DUMMYFUNCTION("IF(B291="""","" "",IMPORTRANGE(B291,""'export'!c1""))")," ")</f>
        <v> </v>
      </c>
      <c r="I291" s="24" t="str">
        <f>IFERROR(__xludf.DUMMYFUNCTION("IF(B291="""","" "",IMPORTRANGE(B291,""'export'!d1""))")," ")</f>
        <v> </v>
      </c>
      <c r="J291" s="25" t="str">
        <f>IFERROR(__xludf.DUMMYFUNCTION("IF(B291="""","" "",IMPORTRANGE(B291,""'export'!e1""))")," ")</f>
        <v> </v>
      </c>
      <c r="K291" s="25"/>
      <c r="L291" s="21" t="str">
        <f>IFERROR(__xludf.DUMMYFUNCTION("IF(B291="""","" "",IMPORTRANGE(B291,""'export'!f1""))")," ")</f>
        <v> </v>
      </c>
      <c r="M291" s="26" t="str">
        <f>IFERROR(__xludf.DUMMYFUNCTION("IF(B291="""","" "",IMPORTRANGE(B291,""'export'!h3""))")," ")</f>
        <v> </v>
      </c>
      <c r="N291" s="27" t="str">
        <f>IFERROR(__xludf.DUMMYFUNCTION("IF(B291="""","" "",IMPORTRANGE(B291,""'export'!h1""))")," ")</f>
        <v> </v>
      </c>
      <c r="O291" s="28" t="str">
        <f>IFERROR(__xludf.DUMMYFUNCTION("IF(B291="""","" "",IMPORTRANGE(B291,""'export'!h11""))")," ")</f>
        <v> </v>
      </c>
      <c r="P291" s="29" t="str">
        <f>IFERROR(__xludf.DUMMYFUNCTION("IF(B291="""","" "",IMPORTRANGE(B291,""'export'!i1""))")," ")</f>
        <v> </v>
      </c>
      <c r="Q291" s="30" t="str">
        <f>IFERROR(__xludf.DUMMYFUNCTION("IF(B291="""","" "",IMPORTRANGE(B291,""'export'!i13""))")," ")</f>
        <v> </v>
      </c>
      <c r="R291" s="31" t="str">
        <f t="shared" si="2"/>
        <v/>
      </c>
      <c r="S291" s="32" t="str">
        <f>IFERROR(__xludf.DUMMYFUNCTION("IF(B291="""","" "",IMPORTRANGE(B291,""'export'!g1""))")," ")</f>
        <v> </v>
      </c>
    </row>
    <row r="292">
      <c r="A292" s="18"/>
      <c r="B292" s="35"/>
      <c r="C292" s="20" t="str">
        <f>IFERROR(__xludf.DUMMYFUNCTION("IF(B292="""","" "",IMPORTRANGE(B292,""'Export'!m1""))")," ")</f>
        <v> </v>
      </c>
      <c r="D292" s="21" t="str">
        <f t="shared" si="1"/>
        <v> ,  ,  </v>
      </c>
      <c r="E292" s="22" t="str">
        <f>IFERROR(__xludf.DUMMYFUNCTION("IF(B292="""","" "",IMPORTRANGE(B292,""'EXPORT'!L1""))")," ")</f>
        <v> </v>
      </c>
      <c r="F292" s="23" t="str">
        <f>IFERROR(__xludf.DUMMYFUNCTION("IF(B292="""","" "",IMPORTRANGE(B292,""'Export'!a1""))")," ")</f>
        <v> </v>
      </c>
      <c r="G292" s="23" t="str">
        <f>IFERROR(__xludf.DUMMYFUNCTION("IF(B292="""","" "",IMPORTRANGE(B292,""'export'!b1""))")," ")</f>
        <v> </v>
      </c>
      <c r="H292" s="23" t="str">
        <f>IFERROR(__xludf.DUMMYFUNCTION("IF(B292="""","" "",IMPORTRANGE(B292,""'export'!c1""))")," ")</f>
        <v> </v>
      </c>
      <c r="I292" s="24" t="str">
        <f>IFERROR(__xludf.DUMMYFUNCTION("IF(B292="""","" "",IMPORTRANGE(B292,""'export'!d1""))")," ")</f>
        <v> </v>
      </c>
      <c r="J292" s="25" t="str">
        <f>IFERROR(__xludf.DUMMYFUNCTION("IF(B292="""","" "",IMPORTRANGE(B292,""'export'!e1""))")," ")</f>
        <v> </v>
      </c>
      <c r="K292" s="25"/>
      <c r="L292" s="21" t="str">
        <f>IFERROR(__xludf.DUMMYFUNCTION("IF(B292="""","" "",IMPORTRANGE(B292,""'export'!f1""))")," ")</f>
        <v> </v>
      </c>
      <c r="M292" s="26" t="str">
        <f>IFERROR(__xludf.DUMMYFUNCTION("IF(B292="""","" "",IMPORTRANGE(B292,""'export'!h3""))")," ")</f>
        <v> </v>
      </c>
      <c r="N292" s="27" t="str">
        <f>IFERROR(__xludf.DUMMYFUNCTION("IF(B292="""","" "",IMPORTRANGE(B292,""'export'!h1""))")," ")</f>
        <v> </v>
      </c>
      <c r="O292" s="28" t="str">
        <f>IFERROR(__xludf.DUMMYFUNCTION("IF(B292="""","" "",IMPORTRANGE(B292,""'export'!h11""))")," ")</f>
        <v> </v>
      </c>
      <c r="P292" s="29" t="str">
        <f>IFERROR(__xludf.DUMMYFUNCTION("IF(B292="""","" "",IMPORTRANGE(B292,""'export'!i1""))")," ")</f>
        <v> </v>
      </c>
      <c r="Q292" s="30" t="str">
        <f>IFERROR(__xludf.DUMMYFUNCTION("IF(B292="""","" "",IMPORTRANGE(B292,""'export'!i13""))")," ")</f>
        <v> </v>
      </c>
      <c r="R292" s="31" t="str">
        <f t="shared" si="2"/>
        <v/>
      </c>
      <c r="S292" s="32" t="str">
        <f>IFERROR(__xludf.DUMMYFUNCTION("IF(B292="""","" "",IMPORTRANGE(B292,""'export'!g1""))")," ")</f>
        <v> </v>
      </c>
    </row>
    <row r="293">
      <c r="A293" s="18"/>
      <c r="B293" s="35"/>
      <c r="C293" s="20" t="str">
        <f>IFERROR(__xludf.DUMMYFUNCTION("IF(B293="""","" "",IMPORTRANGE(B293,""'Export'!m1""))")," ")</f>
        <v> </v>
      </c>
      <c r="D293" s="21" t="str">
        <f t="shared" si="1"/>
        <v> ,  ,  </v>
      </c>
      <c r="E293" s="22" t="str">
        <f>IFERROR(__xludf.DUMMYFUNCTION("IF(B293="""","" "",IMPORTRANGE(B293,""'EXPORT'!L1""))")," ")</f>
        <v> </v>
      </c>
      <c r="F293" s="23" t="str">
        <f>IFERROR(__xludf.DUMMYFUNCTION("IF(B293="""","" "",IMPORTRANGE(B293,""'Export'!a1""))")," ")</f>
        <v> </v>
      </c>
      <c r="G293" s="23" t="str">
        <f>IFERROR(__xludf.DUMMYFUNCTION("IF(B293="""","" "",IMPORTRANGE(B293,""'export'!b1""))")," ")</f>
        <v> </v>
      </c>
      <c r="H293" s="23" t="str">
        <f>IFERROR(__xludf.DUMMYFUNCTION("IF(B293="""","" "",IMPORTRANGE(B293,""'export'!c1""))")," ")</f>
        <v> </v>
      </c>
      <c r="I293" s="24" t="str">
        <f>IFERROR(__xludf.DUMMYFUNCTION("IF(B293="""","" "",IMPORTRANGE(B293,""'export'!d1""))")," ")</f>
        <v> </v>
      </c>
      <c r="J293" s="25" t="str">
        <f>IFERROR(__xludf.DUMMYFUNCTION("IF(B293="""","" "",IMPORTRANGE(B293,""'export'!e1""))")," ")</f>
        <v> </v>
      </c>
      <c r="K293" s="25"/>
      <c r="L293" s="21" t="str">
        <f>IFERROR(__xludf.DUMMYFUNCTION("IF(B293="""","" "",IMPORTRANGE(B293,""'export'!f1""))")," ")</f>
        <v> </v>
      </c>
      <c r="M293" s="26" t="str">
        <f>IFERROR(__xludf.DUMMYFUNCTION("IF(B293="""","" "",IMPORTRANGE(B293,""'export'!h3""))")," ")</f>
        <v> </v>
      </c>
      <c r="N293" s="27" t="str">
        <f>IFERROR(__xludf.DUMMYFUNCTION("IF(B293="""","" "",IMPORTRANGE(B293,""'export'!i3""))")," ")</f>
        <v> </v>
      </c>
      <c r="O293" s="28" t="str">
        <f>IFERROR(__xludf.DUMMYFUNCTION("IF(B293="""","" "",IMPORTRANGE(B293,""'export'!h11""))")," ")</f>
        <v> </v>
      </c>
      <c r="P293" s="29" t="str">
        <f>IFERROR(__xludf.DUMMYFUNCTION("IF(B293="""","" "",IMPORTRANGE(B293,""'export'!i11""))")," ")</f>
        <v> </v>
      </c>
      <c r="Q293" s="30" t="str">
        <f>IFERROR(__xludf.DUMMYFUNCTION("IF(B293="""","" "",IMPORTRANGE(B293,""'export'!i13""))")," ")</f>
        <v> </v>
      </c>
      <c r="R293" s="31" t="str">
        <f t="shared" si="2"/>
        <v/>
      </c>
      <c r="S293" s="32" t="str">
        <f>IFERROR(__xludf.DUMMYFUNCTION("IF(B293="""","" "",IMPORTRANGE(B293,""'export'!g1""))")," ")</f>
        <v> </v>
      </c>
    </row>
    <row r="294">
      <c r="A294" s="18"/>
      <c r="B294" s="35"/>
      <c r="C294" s="20" t="str">
        <f>IFERROR(__xludf.DUMMYFUNCTION("IF(B294="""","" "",IMPORTRANGE(B294,""'Export'!m1""))")," ")</f>
        <v> </v>
      </c>
      <c r="D294" s="21" t="str">
        <f t="shared" si="1"/>
        <v> ,  ,  </v>
      </c>
      <c r="E294" s="22" t="str">
        <f>IFERROR(__xludf.DUMMYFUNCTION("IF(B294="""","" "",IMPORTRANGE(B294,""'EXPORT'!L1""))")," ")</f>
        <v> </v>
      </c>
      <c r="F294" s="23" t="str">
        <f>IFERROR(__xludf.DUMMYFUNCTION("IF(B294="""","" "",IMPORTRANGE(B294,""'Export'!a1""))")," ")</f>
        <v> </v>
      </c>
      <c r="G294" s="23" t="str">
        <f>IFERROR(__xludf.DUMMYFUNCTION("IF(B294="""","" "",IMPORTRANGE(B294,""'export'!b1""))")," ")</f>
        <v> </v>
      </c>
      <c r="H294" s="23" t="str">
        <f>IFERROR(__xludf.DUMMYFUNCTION("IF(B294="""","" "",IMPORTRANGE(B294,""'export'!c1""))")," ")</f>
        <v> </v>
      </c>
      <c r="I294" s="24" t="str">
        <f>IFERROR(__xludf.DUMMYFUNCTION("IF(B294="""","" "",IMPORTRANGE(B294,""'export'!d1""))")," ")</f>
        <v> </v>
      </c>
      <c r="J294" s="25" t="str">
        <f>IFERROR(__xludf.DUMMYFUNCTION("IF(B294="""","" "",IMPORTRANGE(B294,""'export'!e1""))")," ")</f>
        <v> </v>
      </c>
      <c r="K294" s="25"/>
      <c r="L294" s="21" t="str">
        <f>IFERROR(__xludf.DUMMYFUNCTION("IF(B294="""","" "",IMPORTRANGE(B294,""'export'!f1""))")," ")</f>
        <v> </v>
      </c>
      <c r="M294" s="26" t="str">
        <f>IFERROR(__xludf.DUMMYFUNCTION("IF(B294="""","" "",IMPORTRANGE(B294,""'export'!h3""))")," ")</f>
        <v> </v>
      </c>
      <c r="N294" s="27" t="str">
        <f>IFERROR(__xludf.DUMMYFUNCTION("IF(B294="""","" "",IMPORTRANGE(B294,""'export'!i3""))")," ")</f>
        <v> </v>
      </c>
      <c r="O294" s="28" t="str">
        <f>IFERROR(__xludf.DUMMYFUNCTION("IF(B294="""","" "",IMPORTRANGE(B294,""'export'!h11""))")," ")</f>
        <v> </v>
      </c>
      <c r="P294" s="29" t="str">
        <f>IFERROR(__xludf.DUMMYFUNCTION("IF(B294="""","" "",IMPORTRANGE(B294,""'export'!i11""))")," ")</f>
        <v> </v>
      </c>
      <c r="Q294" s="30" t="str">
        <f>IFERROR(__xludf.DUMMYFUNCTION("IF(B294="""","" "",IMPORTRANGE(B294,""'export'!i13""))")," ")</f>
        <v> </v>
      </c>
      <c r="R294" s="31" t="str">
        <f t="shared" si="2"/>
        <v/>
      </c>
      <c r="S294" s="32" t="str">
        <f>IFERROR(__xludf.DUMMYFUNCTION("IF(B294="""","" "",IMPORTRANGE(B294,""'export'!g1""))")," ")</f>
        <v> </v>
      </c>
    </row>
    <row r="295">
      <c r="A295" s="18"/>
      <c r="B295" s="35"/>
      <c r="C295" s="20" t="str">
        <f>IFERROR(__xludf.DUMMYFUNCTION("IF(B295="""","" "",IMPORTRANGE(B295,""'Export'!m1""))")," ")</f>
        <v> </v>
      </c>
      <c r="D295" s="21" t="str">
        <f t="shared" si="1"/>
        <v> ,  ,  </v>
      </c>
      <c r="E295" s="22" t="str">
        <f>IFERROR(__xludf.DUMMYFUNCTION("IF(B295="""","" "",IMPORTRANGE(B295,""'EXPORT'!L1""))")," ")</f>
        <v> </v>
      </c>
      <c r="F295" s="23" t="str">
        <f>IFERROR(__xludf.DUMMYFUNCTION("IF(B295="""","" "",IMPORTRANGE(B295,""'Export'!a1""))")," ")</f>
        <v> </v>
      </c>
      <c r="G295" s="23" t="str">
        <f>IFERROR(__xludf.DUMMYFUNCTION("IF(B295="""","" "",IMPORTRANGE(B295,""'export'!b1""))")," ")</f>
        <v> </v>
      </c>
      <c r="H295" s="23" t="str">
        <f>IFERROR(__xludf.DUMMYFUNCTION("IF(B295="""","" "",IMPORTRANGE(B295,""'export'!c1""))")," ")</f>
        <v> </v>
      </c>
      <c r="I295" s="24" t="str">
        <f>IFERROR(__xludf.DUMMYFUNCTION("IF(B295="""","" "",IMPORTRANGE(B295,""'export'!d1""))")," ")</f>
        <v> </v>
      </c>
      <c r="J295" s="25" t="str">
        <f>IFERROR(__xludf.DUMMYFUNCTION("IF(B295="""","" "",IMPORTRANGE(B295,""'export'!e1""))")," ")</f>
        <v> </v>
      </c>
      <c r="K295" s="25"/>
      <c r="L295" s="21" t="str">
        <f>IFERROR(__xludf.DUMMYFUNCTION("IF(B295="""","" "",IMPORTRANGE(B295,""'export'!f1""))")," ")</f>
        <v> </v>
      </c>
      <c r="M295" s="26" t="str">
        <f>IFERROR(__xludf.DUMMYFUNCTION("IF(B295="""","" "",IMPORTRANGE(B295,""'export'!h3""))")," ")</f>
        <v> </v>
      </c>
      <c r="N295" s="27" t="str">
        <f>IFERROR(__xludf.DUMMYFUNCTION("IF(B295="""","" "",IMPORTRANGE(B295,""'export'!i3""))")," ")</f>
        <v> </v>
      </c>
      <c r="O295" s="28" t="str">
        <f>IFERROR(__xludf.DUMMYFUNCTION("IF(B295="""","" "",IMPORTRANGE(B295,""'export'!h11""))")," ")</f>
        <v> </v>
      </c>
      <c r="P295" s="29" t="str">
        <f>IFERROR(__xludf.DUMMYFUNCTION("IF(B295="""","" "",IMPORTRANGE(B295,""'export'!i11""))")," ")</f>
        <v> </v>
      </c>
      <c r="Q295" s="30" t="str">
        <f>IFERROR(__xludf.DUMMYFUNCTION("IF(B295="""","" "",IMPORTRANGE(B295,""'export'!i13""))")," ")</f>
        <v> </v>
      </c>
      <c r="R295" s="31" t="str">
        <f t="shared" si="2"/>
        <v/>
      </c>
      <c r="S295" s="32" t="str">
        <f>IFERROR(__xludf.DUMMYFUNCTION("IF(B295="""","" "",IMPORTRANGE(B295,""'export'!g1""))")," ")</f>
        <v> </v>
      </c>
    </row>
    <row r="296">
      <c r="A296" s="18"/>
      <c r="B296" s="35"/>
      <c r="C296" s="20" t="str">
        <f>IFERROR(__xludf.DUMMYFUNCTION("IF(B296="""","" "",IMPORTRANGE(B296,""'Export'!m1""))")," ")</f>
        <v> </v>
      </c>
      <c r="D296" s="21" t="str">
        <f t="shared" si="1"/>
        <v> ,  ,  </v>
      </c>
      <c r="E296" s="22" t="str">
        <f>IFERROR(__xludf.DUMMYFUNCTION("IF(B296="""","" "",IMPORTRANGE(B296,""'EXPORT'!L1""))")," ")</f>
        <v> </v>
      </c>
      <c r="F296" s="23" t="str">
        <f>IFERROR(__xludf.DUMMYFUNCTION("IF(B296="""","" "",IMPORTRANGE(B296,""'Export'!a1""))")," ")</f>
        <v> </v>
      </c>
      <c r="G296" s="23" t="str">
        <f>IFERROR(__xludf.DUMMYFUNCTION("IF(B296="""","" "",IMPORTRANGE(B296,""'export'!b1""))")," ")</f>
        <v> </v>
      </c>
      <c r="H296" s="23" t="str">
        <f>IFERROR(__xludf.DUMMYFUNCTION("IF(B296="""","" "",IMPORTRANGE(B296,""'export'!c1""))")," ")</f>
        <v> </v>
      </c>
      <c r="I296" s="24" t="str">
        <f>IFERROR(__xludf.DUMMYFUNCTION("IF(B296="""","" "",IMPORTRANGE(B296,""'export'!d1""))")," ")</f>
        <v> </v>
      </c>
      <c r="J296" s="25" t="str">
        <f>IFERROR(__xludf.DUMMYFUNCTION("IF(B296="""","" "",IMPORTRANGE(B296,""'export'!e1""))")," ")</f>
        <v> </v>
      </c>
      <c r="K296" s="25"/>
      <c r="L296" s="21" t="str">
        <f>IFERROR(__xludf.DUMMYFUNCTION("IF(B296="""","" "",IMPORTRANGE(B296,""'export'!f1""))")," ")</f>
        <v> </v>
      </c>
      <c r="M296" s="26" t="str">
        <f>IFERROR(__xludf.DUMMYFUNCTION("IF(B296="""","" "",IMPORTRANGE(B296,""'export'!h3""))")," ")</f>
        <v> </v>
      </c>
      <c r="N296" s="27" t="str">
        <f>IFERROR(__xludf.DUMMYFUNCTION("IF(B296="""","" "",IMPORTRANGE(B296,""'export'!i3""))")," ")</f>
        <v> </v>
      </c>
      <c r="O296" s="28" t="str">
        <f>IFERROR(__xludf.DUMMYFUNCTION("IF(B296="""","" "",IMPORTRANGE(B296,""'export'!h11""))")," ")</f>
        <v> </v>
      </c>
      <c r="P296" s="29" t="str">
        <f>IFERROR(__xludf.DUMMYFUNCTION("IF(B296="""","" "",IMPORTRANGE(B296,""'export'!i11""))")," ")</f>
        <v> </v>
      </c>
      <c r="Q296" s="30" t="str">
        <f>IFERROR(__xludf.DUMMYFUNCTION("IF(B296="""","" "",IMPORTRANGE(B296,""'export'!i13""))")," ")</f>
        <v> </v>
      </c>
      <c r="R296" s="31" t="str">
        <f t="shared" si="2"/>
        <v/>
      </c>
      <c r="S296" s="32" t="str">
        <f>IFERROR(__xludf.DUMMYFUNCTION("IF(B296="""","" "",IMPORTRANGE(B296,""'export'!g1""))")," ")</f>
        <v> </v>
      </c>
    </row>
    <row r="297">
      <c r="A297" s="18"/>
      <c r="B297" s="35"/>
      <c r="C297" s="20" t="str">
        <f>IFERROR(__xludf.DUMMYFUNCTION("IF(B297="""","" "",IMPORTRANGE(B297,""'Export'!m1""))")," ")</f>
        <v> </v>
      </c>
      <c r="D297" s="21" t="str">
        <f t="shared" si="1"/>
        <v> ,  ,  </v>
      </c>
      <c r="E297" s="22" t="str">
        <f>IFERROR(__xludf.DUMMYFUNCTION("IF(B297="""","" "",IMPORTRANGE(B297,""'EXPORT'!L1""))")," ")</f>
        <v> </v>
      </c>
      <c r="F297" s="23" t="str">
        <f>IFERROR(__xludf.DUMMYFUNCTION("IF(B297="""","" "",IMPORTRANGE(B297,""'Export'!a1""))")," ")</f>
        <v> </v>
      </c>
      <c r="G297" s="23" t="str">
        <f>IFERROR(__xludf.DUMMYFUNCTION("IF(B297="""","" "",IMPORTRANGE(B297,""'export'!b1""))")," ")</f>
        <v> </v>
      </c>
      <c r="H297" s="23" t="str">
        <f>IFERROR(__xludf.DUMMYFUNCTION("IF(B297="""","" "",IMPORTRANGE(B297,""'export'!c1""))")," ")</f>
        <v> </v>
      </c>
      <c r="I297" s="24" t="str">
        <f>IFERROR(__xludf.DUMMYFUNCTION("IF(B297="""","" "",IMPORTRANGE(B297,""'export'!d1""))")," ")</f>
        <v> </v>
      </c>
      <c r="J297" s="25" t="str">
        <f>IFERROR(__xludf.DUMMYFUNCTION("IF(B297="""","" "",IMPORTRANGE(B297,""'export'!e1""))")," ")</f>
        <v> </v>
      </c>
      <c r="K297" s="25"/>
      <c r="L297" s="21" t="str">
        <f>IFERROR(__xludf.DUMMYFUNCTION("IF(B297="""","" "",IMPORTRANGE(B297,""'export'!f1""))")," ")</f>
        <v> </v>
      </c>
      <c r="M297" s="26" t="str">
        <f>IFERROR(__xludf.DUMMYFUNCTION("IF(B297="""","" "",IMPORTRANGE(B297,""'export'!h3""))")," ")</f>
        <v> </v>
      </c>
      <c r="N297" s="27" t="str">
        <f>IFERROR(__xludf.DUMMYFUNCTION("IF(B297="""","" "",IMPORTRANGE(B297,""'export'!i3""))")," ")</f>
        <v> </v>
      </c>
      <c r="O297" s="28" t="str">
        <f>IFERROR(__xludf.DUMMYFUNCTION("IF(B297="""","" "",IMPORTRANGE(B297,""'export'!h11""))")," ")</f>
        <v> </v>
      </c>
      <c r="P297" s="29" t="str">
        <f>IFERROR(__xludf.DUMMYFUNCTION("IF(B297="""","" "",IMPORTRANGE(B297,""'export'!i11""))")," ")</f>
        <v> </v>
      </c>
      <c r="Q297" s="30" t="str">
        <f>IFERROR(__xludf.DUMMYFUNCTION("IF(B297="""","" "",IMPORTRANGE(B297,""'export'!i13""))")," ")</f>
        <v> </v>
      </c>
      <c r="R297" s="31" t="str">
        <f t="shared" si="2"/>
        <v/>
      </c>
      <c r="S297" s="32" t="str">
        <f>IFERROR(__xludf.DUMMYFUNCTION("IF(B297="""","" "",IMPORTRANGE(B297,""'export'!g1""))")," ")</f>
        <v> </v>
      </c>
    </row>
    <row r="298">
      <c r="A298" s="18"/>
      <c r="B298" s="35"/>
      <c r="C298" s="20" t="str">
        <f>IFERROR(__xludf.DUMMYFUNCTION("IF(B298="""","" "",IMPORTRANGE(B298,""'Export'!m1""))")," ")</f>
        <v> </v>
      </c>
      <c r="D298" s="21" t="str">
        <f t="shared" si="1"/>
        <v> ,  ,  </v>
      </c>
      <c r="E298" s="22" t="str">
        <f>IFERROR(__xludf.DUMMYFUNCTION("IF(B298="""","" "",IMPORTRANGE(B298,""'EXPORT'!L1""))")," ")</f>
        <v> </v>
      </c>
      <c r="F298" s="23" t="str">
        <f>IFERROR(__xludf.DUMMYFUNCTION("IF(B298="""","" "",IMPORTRANGE(B298,""'Export'!a1""))")," ")</f>
        <v> </v>
      </c>
      <c r="G298" s="23" t="str">
        <f>IFERROR(__xludf.DUMMYFUNCTION("IF(B298="""","" "",IMPORTRANGE(B298,""'export'!b1""))")," ")</f>
        <v> </v>
      </c>
      <c r="H298" s="23" t="str">
        <f>IFERROR(__xludf.DUMMYFUNCTION("IF(B298="""","" "",IMPORTRANGE(B298,""'export'!c1""))")," ")</f>
        <v> </v>
      </c>
      <c r="I298" s="24" t="str">
        <f>IFERROR(__xludf.DUMMYFUNCTION("IF(B298="""","" "",IMPORTRANGE(B298,""'export'!d1""))")," ")</f>
        <v> </v>
      </c>
      <c r="J298" s="25" t="str">
        <f>IFERROR(__xludf.DUMMYFUNCTION("IF(B298="""","" "",IMPORTRANGE(B298,""'export'!e1""))")," ")</f>
        <v> </v>
      </c>
      <c r="K298" s="25"/>
      <c r="L298" s="21" t="str">
        <f>IFERROR(__xludf.DUMMYFUNCTION("IF(B298="""","" "",IMPORTRANGE(B298,""'export'!f1""))")," ")</f>
        <v> </v>
      </c>
      <c r="M298" s="26" t="str">
        <f>IFERROR(__xludf.DUMMYFUNCTION("IF(B298="""","" "",IMPORTRANGE(B298,""'export'!h3""))")," ")</f>
        <v> </v>
      </c>
      <c r="N298" s="27" t="str">
        <f>IFERROR(__xludf.DUMMYFUNCTION("IF(B298="""","" "",IMPORTRANGE(B298,""'export'!i3""))")," ")</f>
        <v> </v>
      </c>
      <c r="O298" s="28" t="str">
        <f>IFERROR(__xludf.DUMMYFUNCTION("IF(B298="""","" "",IMPORTRANGE(B298,""'export'!h11""))")," ")</f>
        <v> </v>
      </c>
      <c r="P298" s="29" t="str">
        <f>IFERROR(__xludf.DUMMYFUNCTION("IF(B298="""","" "",IMPORTRANGE(B298,""'export'!i11""))")," ")</f>
        <v> </v>
      </c>
      <c r="Q298" s="30" t="str">
        <f>IFERROR(__xludf.DUMMYFUNCTION("IF(B298="""","" "",IMPORTRANGE(B298,""'export'!i13""))")," ")</f>
        <v> </v>
      </c>
      <c r="R298" s="31" t="str">
        <f t="shared" si="2"/>
        <v/>
      </c>
      <c r="S298" s="32" t="str">
        <f>IFERROR(__xludf.DUMMYFUNCTION("IF(B298="""","" "",IMPORTRANGE(B298,""'export'!g1""))")," ")</f>
        <v> </v>
      </c>
    </row>
    <row r="299">
      <c r="A299" s="18"/>
      <c r="B299" s="35"/>
      <c r="C299" s="20" t="str">
        <f>IFERROR(__xludf.DUMMYFUNCTION("IF(B299="""","" "",IMPORTRANGE(B299,""'Export'!m1""))")," ")</f>
        <v> </v>
      </c>
      <c r="D299" s="21" t="str">
        <f t="shared" si="1"/>
        <v> ,  ,  </v>
      </c>
      <c r="E299" s="22" t="str">
        <f>IFERROR(__xludf.DUMMYFUNCTION("IF(B299="""","" "",IMPORTRANGE(B299,""'EXPORT'!L1""))")," ")</f>
        <v> </v>
      </c>
      <c r="F299" s="23" t="str">
        <f>IFERROR(__xludf.DUMMYFUNCTION("IF(B299="""","" "",IMPORTRANGE(B299,""'Export'!a1""))")," ")</f>
        <v> </v>
      </c>
      <c r="G299" s="23" t="str">
        <f>IFERROR(__xludf.DUMMYFUNCTION("IF(B299="""","" "",IMPORTRANGE(B299,""'export'!b1""))")," ")</f>
        <v> </v>
      </c>
      <c r="H299" s="23" t="str">
        <f>IFERROR(__xludf.DUMMYFUNCTION("IF(B299="""","" "",IMPORTRANGE(B299,""'export'!c1""))")," ")</f>
        <v> </v>
      </c>
      <c r="I299" s="24" t="str">
        <f>IFERROR(__xludf.DUMMYFUNCTION("IF(B299="""","" "",IMPORTRANGE(B299,""'export'!d1""))")," ")</f>
        <v> </v>
      </c>
      <c r="J299" s="25" t="str">
        <f>IFERROR(__xludf.DUMMYFUNCTION("IF(B299="""","" "",IMPORTRANGE(B299,""'export'!e1""))")," ")</f>
        <v> </v>
      </c>
      <c r="K299" s="25"/>
      <c r="L299" s="21" t="str">
        <f>IFERROR(__xludf.DUMMYFUNCTION("IF(B299="""","" "",IMPORTRANGE(B299,""'export'!f1""))")," ")</f>
        <v> </v>
      </c>
      <c r="M299" s="26" t="str">
        <f>IFERROR(__xludf.DUMMYFUNCTION("IF(B299="""","" "",IMPORTRANGE(B299,""'export'!h3""))")," ")</f>
        <v> </v>
      </c>
      <c r="N299" s="27" t="str">
        <f>IFERROR(__xludf.DUMMYFUNCTION("IF(B299="""","" "",IMPORTRANGE(B299,""'export'!i3""))")," ")</f>
        <v> </v>
      </c>
      <c r="O299" s="28" t="str">
        <f>IFERROR(__xludf.DUMMYFUNCTION("IF(B299="""","" "",IMPORTRANGE(B299,""'export'!h11""))")," ")</f>
        <v> </v>
      </c>
      <c r="P299" s="29" t="str">
        <f>IFERROR(__xludf.DUMMYFUNCTION("IF(B299="""","" "",IMPORTRANGE(B299,""'export'!i11""))")," ")</f>
        <v> </v>
      </c>
      <c r="Q299" s="30" t="str">
        <f>IFERROR(__xludf.DUMMYFUNCTION("IF(B299="""","" "",IMPORTRANGE(B299,""'export'!i13""))")," ")</f>
        <v> </v>
      </c>
      <c r="R299" s="31" t="str">
        <f t="shared" si="2"/>
        <v/>
      </c>
      <c r="S299" s="32" t="str">
        <f>IFERROR(__xludf.DUMMYFUNCTION("IF(B299="""","" "",IMPORTRANGE(B299,""'export'!g1""))")," ")</f>
        <v> </v>
      </c>
    </row>
  </sheetData>
  <autoFilter ref="$A$2:$S$299">
    <sortState ref="A2:S299">
      <sortCondition ref="I2:I299"/>
      <sortCondition ref="Q2:Q299"/>
      <sortCondition descending="1" ref="N2:N299"/>
      <sortCondition ref="E2:E299"/>
      <sortCondition ref="F2:F299"/>
    </sortState>
  </autoFilter>
  <mergeCells count="5">
    <mergeCell ref="A1:C1"/>
    <mergeCell ref="D1:K1"/>
    <mergeCell ref="M1:N1"/>
    <mergeCell ref="O1:P1"/>
    <mergeCell ref="Q1:R1"/>
  </mergeCells>
  <conditionalFormatting sqref="C1:C299">
    <cfRule type="containsText" dxfId="0" priority="1" operator="containsText" text="ТВР">
      <formula>NOT(ISERROR(SEARCH(("ТВР"),(C1))))</formula>
    </cfRule>
  </conditionalFormatting>
  <conditionalFormatting sqref="C3:C299">
    <cfRule type="containsText" dxfId="1" priority="2" operator="containsText" text="ТВ">
      <formula>NOT(ISERROR(SEARCH(("ТВ"),(C3))))</formula>
    </cfRule>
  </conditionalFormatting>
  <conditionalFormatting sqref="C3:C299">
    <cfRule type="containsText" dxfId="2" priority="3" operator="containsText" text="Р">
      <formula>NOT(ISERROR(SEARCH(("Р"),(C3))))</formula>
    </cfRule>
  </conditionalFormatting>
  <conditionalFormatting sqref="R1:R299">
    <cfRule type="colorScale" priority="4">
      <colorScale>
        <cfvo type="formula" val="0.45"/>
        <cfvo type="formula" val="0.6"/>
        <cfvo type="formula" val="0.75"/>
        <color rgb="FFEA4335"/>
        <color rgb="FFFBBC04"/>
        <color rgb="FF57BB8A"/>
      </colorScale>
    </cfRule>
  </conditionalFormatting>
  <dataValidations>
    <dataValidation type="list" allowBlank="1" sqref="A3:A299">
      <formula1>DATA!$A:$A</formula1>
    </dataValidation>
  </dataValidations>
  <hyperlinks>
    <hyperlink r:id="rId1" location="gid=222305055" ref="D1"/>
  </hyperlinks>
  <drawing r:id="rId2"/>
</worksheet>
</file>